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rivals" sheetId="1" r:id="rId4"/>
    <sheet state="visible" name="Departures" sheetId="2" r:id="rId5"/>
    <sheet state="visible" name="Drivers" sheetId="3" r:id="rId6"/>
  </sheets>
  <definedNames>
    <definedName hidden="1" localSheetId="2" name="_xlnm._FilterDatabase">Drivers!$A$1:$C$1</definedName>
  </definedNames>
  <calcPr/>
  <extLst>
    <ext uri="GoogleSheetsCustomDataVersion2">
      <go:sheetsCustomData xmlns:go="http://customooxmlschemas.google.com/" r:id="rId7" roundtripDataChecksum="bKW4aC8+fGaSwcniHEaMHk8eJyHEiQ/jm+HyanjmN3A="/>
    </ext>
  </extLst>
</workbook>
</file>

<file path=xl/sharedStrings.xml><?xml version="1.0" encoding="utf-8"?>
<sst xmlns="http://schemas.openxmlformats.org/spreadsheetml/2006/main" count="1129" uniqueCount="456">
  <si>
    <t>Ride Share</t>
  </si>
  <si>
    <t>Last Name</t>
  </si>
  <si>
    <t>First Name</t>
  </si>
  <si>
    <t>Mobile Phone Number</t>
  </si>
  <si>
    <t>Arrival Date</t>
  </si>
  <si>
    <t>Leg Origin</t>
  </si>
  <si>
    <t>Arrival Time</t>
  </si>
  <si>
    <t>Leg Destination</t>
  </si>
  <si>
    <t>Airline</t>
  </si>
  <si>
    <t>Flight Number</t>
  </si>
  <si>
    <t>Operated By</t>
  </si>
  <si>
    <t>Sunday, October 8</t>
  </si>
  <si>
    <t>No Ground needed</t>
  </si>
  <si>
    <t>Bennett</t>
  </si>
  <si>
    <t>Diane</t>
  </si>
  <si>
    <t>917.603.8415</t>
  </si>
  <si>
    <t>Las Vegas - Harry Reid International (LAS)</t>
  </si>
  <si>
    <t>9:45 PM</t>
  </si>
  <si>
    <t>New Jersey - Newark Liberty Intl (EWR)</t>
  </si>
  <si>
    <t>United Airlines (UA)</t>
  </si>
  <si>
    <t>UA 1702</t>
  </si>
  <si>
    <t>Monday, October 9</t>
  </si>
  <si>
    <t>Gordon</t>
  </si>
  <si>
    <t>Praema</t>
  </si>
  <si>
    <t>7347099725</t>
  </si>
  <si>
    <t>Detroit - Metropolitan Wayne Co. (DTW)</t>
  </si>
  <si>
    <t>12:08 PM</t>
  </si>
  <si>
    <t>Delta Airlines (DL)</t>
  </si>
  <si>
    <t>DL 2936</t>
  </si>
  <si>
    <t>Singer</t>
  </si>
  <si>
    <t>Sharon</t>
  </si>
  <si>
    <t>8433675623</t>
  </si>
  <si>
    <t>Charlotte - Douglas Intl (CLT)</t>
  </si>
  <si>
    <t>12:50 PM</t>
  </si>
  <si>
    <t>American Airlines (AA)</t>
  </si>
  <si>
    <t>AA 1141</t>
  </si>
  <si>
    <t>Rovito</t>
  </si>
  <si>
    <t>Susan</t>
  </si>
  <si>
    <t>2158727546</t>
  </si>
  <si>
    <t>Denver - International (DEN)</t>
  </si>
  <si>
    <t>3:30 PM</t>
  </si>
  <si>
    <t>UA 1591</t>
  </si>
  <si>
    <t>Wall</t>
  </si>
  <si>
    <t>Devin</t>
  </si>
  <si>
    <t>509-668-0503</t>
  </si>
  <si>
    <t>Seattle - Seattle-Tacoma Intl (SEA)</t>
  </si>
  <si>
    <t>5:29 PM</t>
  </si>
  <si>
    <t>Alaska Airlines (AS)</t>
  </si>
  <si>
    <t>AS 398</t>
  </si>
  <si>
    <t>Williams</t>
  </si>
  <si>
    <t>Wendy</t>
  </si>
  <si>
    <t>6613606733</t>
  </si>
  <si>
    <t>8:00 PM</t>
  </si>
  <si>
    <t>UA 2192</t>
  </si>
  <si>
    <t>A</t>
  </si>
  <si>
    <t>Bello Mendoza</t>
  </si>
  <si>
    <t>Karina</t>
  </si>
  <si>
    <t>480-310-3874</t>
  </si>
  <si>
    <t>Phoenix - Sky Harbor Intl (PHX)</t>
  </si>
  <si>
    <t>8:59 PM</t>
  </si>
  <si>
    <t>AA 2333</t>
  </si>
  <si>
    <t>Foster</t>
  </si>
  <si>
    <t>Dawn</t>
  </si>
  <si>
    <t>520-404-8293</t>
  </si>
  <si>
    <t>Tegethoff</t>
  </si>
  <si>
    <t>Kylie</t>
  </si>
  <si>
    <t>314-566-9160</t>
  </si>
  <si>
    <t>Schlager</t>
  </si>
  <si>
    <t>Norma</t>
  </si>
  <si>
    <t>702-883-3296</t>
  </si>
  <si>
    <t>McLatchie</t>
  </si>
  <si>
    <t>Sandra</t>
  </si>
  <si>
    <t>(608) 697-0167</t>
  </si>
  <si>
    <t>9:55 PM</t>
  </si>
  <si>
    <t>UA 1715</t>
  </si>
  <si>
    <t>Tuesday, October 10</t>
  </si>
  <si>
    <t>Dove</t>
  </si>
  <si>
    <t>Debra</t>
  </si>
  <si>
    <t>7249896281</t>
  </si>
  <si>
    <t>Pittsburgh - International (PIT)</t>
  </si>
  <si>
    <t>11:57 AM</t>
  </si>
  <si>
    <t>UA 3657</t>
  </si>
  <si>
    <t>REPUBLIC AIRWAYS DBA UNITED EXPRESS</t>
  </si>
  <si>
    <t>Clemons-Black</t>
  </si>
  <si>
    <t>Tsungani</t>
  </si>
  <si>
    <t>518-961-3526</t>
  </si>
  <si>
    <t>Albany - International (ALB)</t>
  </si>
  <si>
    <t>UA 4166</t>
  </si>
  <si>
    <t>GOJET AIRLINES DBA UNITED EXPRESS</t>
  </si>
  <si>
    <t>Woods</t>
  </si>
  <si>
    <t>Lynda</t>
  </si>
  <si>
    <t>5086673444</t>
  </si>
  <si>
    <t>Boston - Edward L. Logan Intl (BOS)</t>
  </si>
  <si>
    <t>12:28 PM</t>
  </si>
  <si>
    <t>UA 592</t>
  </si>
  <si>
    <t>Noble</t>
  </si>
  <si>
    <t>Rexanna</t>
  </si>
  <si>
    <t>3045734463</t>
  </si>
  <si>
    <t>Pyatt</t>
  </si>
  <si>
    <t>Sherry</t>
  </si>
  <si>
    <t>4235232463</t>
  </si>
  <si>
    <t>B</t>
  </si>
  <si>
    <t>Ash</t>
  </si>
  <si>
    <t>Alysha G.</t>
  </si>
  <si>
    <t>3173954530</t>
  </si>
  <si>
    <t>Tampa - International (TPA)</t>
  </si>
  <si>
    <t>1:05 PM</t>
  </si>
  <si>
    <t>UA 2038</t>
  </si>
  <si>
    <t>Graves</t>
  </si>
  <si>
    <t>Nicole</t>
  </si>
  <si>
    <t>8133523151</t>
  </si>
  <si>
    <t>Hite</t>
  </si>
  <si>
    <t>Juliana</t>
  </si>
  <si>
    <t>8597600184</t>
  </si>
  <si>
    <t>Jacksonville - International (JAX)</t>
  </si>
  <si>
    <t>1:24 PM</t>
  </si>
  <si>
    <t>UA 2332</t>
  </si>
  <si>
    <t>Casey</t>
  </si>
  <si>
    <t>Kolleen</t>
  </si>
  <si>
    <t>6097066557</t>
  </si>
  <si>
    <t>Greenville/Spartanburg - International (GSP)</t>
  </si>
  <si>
    <t>1:29 PM</t>
  </si>
  <si>
    <t>UA 1467</t>
  </si>
  <si>
    <t>Lane</t>
  </si>
  <si>
    <t>Margaret</t>
  </si>
  <si>
    <t>7703319278</t>
  </si>
  <si>
    <t>Atlanta - Hartsfield-Jackson Int (ATL)</t>
  </si>
  <si>
    <t>2:01 PM</t>
  </si>
  <si>
    <t>DL 2485</t>
  </si>
  <si>
    <t>Allen</t>
  </si>
  <si>
    <t>Connette</t>
  </si>
  <si>
    <t>651-334-0324</t>
  </si>
  <si>
    <t>Minneapolis/St Paul - International (MSP)</t>
  </si>
  <si>
    <t>2:02 PM</t>
  </si>
  <si>
    <t>DL 2035</t>
  </si>
  <si>
    <t>C</t>
  </si>
  <si>
    <t>Moennich</t>
  </si>
  <si>
    <t>Sally</t>
  </si>
  <si>
    <t>216-509-0794</t>
  </si>
  <si>
    <t>Cleveland - Hopkins International (CLE)</t>
  </si>
  <si>
    <t>2:06 PM</t>
  </si>
  <si>
    <t>UA 2067</t>
  </si>
  <si>
    <t>Rendek</t>
  </si>
  <si>
    <t>Pam</t>
  </si>
  <si>
    <t>(440) 796-0211</t>
  </si>
  <si>
    <t>Georgiadis</t>
  </si>
  <si>
    <t>Alexandra</t>
  </si>
  <si>
    <t>407-463-2346</t>
  </si>
  <si>
    <t>Raleigh/Durham - International (RDU)</t>
  </si>
  <si>
    <t>2:07 PM</t>
  </si>
  <si>
    <t>DL 5097</t>
  </si>
  <si>
    <t>ENDEAVOR AIR DBA DELTA CONNECTION</t>
  </si>
  <si>
    <t>Bucher</t>
  </si>
  <si>
    <t>Denise</t>
  </si>
  <si>
    <t>603-554-2533</t>
  </si>
  <si>
    <t>Manchester - Manchester-Boston Rgnl (MHT)</t>
  </si>
  <si>
    <t>UA 3690</t>
  </si>
  <si>
    <t>Protzek</t>
  </si>
  <si>
    <t>Holly</t>
  </si>
  <si>
    <t>336-587-5444</t>
  </si>
  <si>
    <t>Greensboro/High Point - Piedmont Triad Intl (GSO)</t>
  </si>
  <si>
    <t>2:08 PM</t>
  </si>
  <si>
    <t>UA 3700</t>
  </si>
  <si>
    <t>Evans</t>
  </si>
  <si>
    <t>Julie</t>
  </si>
  <si>
    <t>402-490-7490</t>
  </si>
  <si>
    <t>Chicago - O'Hare International (ORD)</t>
  </si>
  <si>
    <t>2:10 PM</t>
  </si>
  <si>
    <t>UA 2455</t>
  </si>
  <si>
    <t>Duff</t>
  </si>
  <si>
    <t>9206766777</t>
  </si>
  <si>
    <t>Milwaukee - General Mitchell Intl (MKE)</t>
  </si>
  <si>
    <t>2:11 PM</t>
  </si>
  <si>
    <t>UA 3678</t>
  </si>
  <si>
    <t>D</t>
  </si>
  <si>
    <t>Alford</t>
  </si>
  <si>
    <t>Kim</t>
  </si>
  <si>
    <t>574-286-6466</t>
  </si>
  <si>
    <t>West Palm Beach - Palm Beach Intl (PBI)</t>
  </si>
  <si>
    <t>2:14 PM</t>
  </si>
  <si>
    <t>UA 1197</t>
  </si>
  <si>
    <t>Cocores</t>
  </si>
  <si>
    <t>Stephanie</t>
  </si>
  <si>
    <t>5617158764</t>
  </si>
  <si>
    <t>Wilson</t>
  </si>
  <si>
    <t>Beverly</t>
  </si>
  <si>
    <t>2073005230</t>
  </si>
  <si>
    <t>Bangor - International (BGR)</t>
  </si>
  <si>
    <t>2:23 PM</t>
  </si>
  <si>
    <t>UA 3405</t>
  </si>
  <si>
    <t>Schroeder</t>
  </si>
  <si>
    <t>Pamela</t>
  </si>
  <si>
    <t>239-246-3064</t>
  </si>
  <si>
    <t>Fort Myers - Southwest Florida Intl (RSW)</t>
  </si>
  <si>
    <t>2:53 PM</t>
  </si>
  <si>
    <t>UA 2487</t>
  </si>
  <si>
    <t>Hamilton</t>
  </si>
  <si>
    <t>630-251-5040</t>
  </si>
  <si>
    <t>3:10 PM</t>
  </si>
  <si>
    <t>UA 2471</t>
  </si>
  <si>
    <t>Jagers</t>
  </si>
  <si>
    <t>Sheila</t>
  </si>
  <si>
    <t>4697348279</t>
  </si>
  <si>
    <t>Dallas - Dallas/FT Worth Intl (DFW)</t>
  </si>
  <si>
    <t>3:58 PM</t>
  </si>
  <si>
    <t>AA 707</t>
  </si>
  <si>
    <t>Massoni</t>
  </si>
  <si>
    <t>Dianne</t>
  </si>
  <si>
    <t>925-413-3799</t>
  </si>
  <si>
    <t>Nashville - International (BNA)</t>
  </si>
  <si>
    <t>4:01 PM</t>
  </si>
  <si>
    <t>UA 1706</t>
  </si>
  <si>
    <t>E</t>
  </si>
  <si>
    <t>Farris</t>
  </si>
  <si>
    <t>Suzanne</t>
  </si>
  <si>
    <t>7346352474</t>
  </si>
  <si>
    <t>4:04 PM</t>
  </si>
  <si>
    <t>DL 2789</t>
  </si>
  <si>
    <t>Teel</t>
  </si>
  <si>
    <t>Crystal</t>
  </si>
  <si>
    <t>919-628-8697</t>
  </si>
  <si>
    <t>F</t>
  </si>
  <si>
    <t>Bemis</t>
  </si>
  <si>
    <t>Michelle</t>
  </si>
  <si>
    <t>3345493030</t>
  </si>
  <si>
    <t>4:12 PM</t>
  </si>
  <si>
    <t>DL 2434</t>
  </si>
  <si>
    <t>Pelfrey</t>
  </si>
  <si>
    <t>Sylvia</t>
  </si>
  <si>
    <t>4234940871</t>
  </si>
  <si>
    <t>Rosendale</t>
  </si>
  <si>
    <t>Kayla</t>
  </si>
  <si>
    <t>919-721-7331</t>
  </si>
  <si>
    <t>Snyder</t>
  </si>
  <si>
    <t>Cheryl</t>
  </si>
  <si>
    <t>7852217354</t>
  </si>
  <si>
    <t>Kansas City - International (MCI)</t>
  </si>
  <si>
    <t>4:17 PM</t>
  </si>
  <si>
    <t>UA 1779</t>
  </si>
  <si>
    <t>Lindstrom</t>
  </si>
  <si>
    <t>Julieann</t>
  </si>
  <si>
    <t>602 510 2411</t>
  </si>
  <si>
    <t>4:20 PM</t>
  </si>
  <si>
    <t>AA 2825</t>
  </si>
  <si>
    <t>G</t>
  </si>
  <si>
    <t>Reith</t>
  </si>
  <si>
    <t>Thomas</t>
  </si>
  <si>
    <t>6306504663</t>
  </si>
  <si>
    <t>4:25 PM</t>
  </si>
  <si>
    <t>UA 1363</t>
  </si>
  <si>
    <t>Celicia</t>
  </si>
  <si>
    <t>3093713378</t>
  </si>
  <si>
    <t>H</t>
  </si>
  <si>
    <t>Ruiz</t>
  </si>
  <si>
    <t>Guadalupe</t>
  </si>
  <si>
    <t>(956) 773-7365</t>
  </si>
  <si>
    <t>Houston - George Bush Intercont. (IAH)</t>
  </si>
  <si>
    <t>4:40 PM</t>
  </si>
  <si>
    <t>UA 2600</t>
  </si>
  <si>
    <t>Schmohr</t>
  </si>
  <si>
    <t>Bobbi</t>
  </si>
  <si>
    <t>4057061403</t>
  </si>
  <si>
    <t>Solares</t>
  </si>
  <si>
    <t>8185900746</t>
  </si>
  <si>
    <t>Los Angeles - International (LAX)</t>
  </si>
  <si>
    <t>4:45 PM</t>
  </si>
  <si>
    <t>UA 2715</t>
  </si>
  <si>
    <t>Ridder</t>
  </si>
  <si>
    <t>Lissa</t>
  </si>
  <si>
    <t>3173711193</t>
  </si>
  <si>
    <t>Cincinnati - Northern Kentucky Intl (CVG)</t>
  </si>
  <si>
    <t>5:05 PM</t>
  </si>
  <si>
    <t>UA 3638</t>
  </si>
  <si>
    <t>Musher</t>
  </si>
  <si>
    <t>Judithanne</t>
  </si>
  <si>
    <t>412-527-9302</t>
  </si>
  <si>
    <t>5:07 PM</t>
  </si>
  <si>
    <t>UA 3569</t>
  </si>
  <si>
    <t>Merrill</t>
  </si>
  <si>
    <t>Jessica</t>
  </si>
  <si>
    <t>3526102034</t>
  </si>
  <si>
    <t>5:18 PM</t>
  </si>
  <si>
    <t>UA 1780</t>
  </si>
  <si>
    <t>Peek</t>
  </si>
  <si>
    <t>Elizabeth</t>
  </si>
  <si>
    <t>3603937297</t>
  </si>
  <si>
    <t>Tjelle</t>
  </si>
  <si>
    <t>Cynthia</t>
  </si>
  <si>
    <t>815-761-2450</t>
  </si>
  <si>
    <t>5:45 PM</t>
  </si>
  <si>
    <t>UA 2138</t>
  </si>
  <si>
    <t>Edwards</t>
  </si>
  <si>
    <t>Alana</t>
  </si>
  <si>
    <t>8016472756</t>
  </si>
  <si>
    <t>Salt Lake City - International (SLC)</t>
  </si>
  <si>
    <t>5:53 PM</t>
  </si>
  <si>
    <t>DL 1272</t>
  </si>
  <si>
    <t>Thornton</t>
  </si>
  <si>
    <t>Dana</t>
  </si>
  <si>
    <t>9546623784</t>
  </si>
  <si>
    <t>Fort Lauderdale - International (FLL)</t>
  </si>
  <si>
    <t>6:30 PM</t>
  </si>
  <si>
    <t>UA 2458</t>
  </si>
  <si>
    <t>I</t>
  </si>
  <si>
    <t>Greenlee</t>
  </si>
  <si>
    <t>2052764920</t>
  </si>
  <si>
    <t>6:45 PM</t>
  </si>
  <si>
    <t>AA 1373</t>
  </si>
  <si>
    <t>Murphy</t>
  </si>
  <si>
    <t>Andrea</t>
  </si>
  <si>
    <t>1-865-414-0089</t>
  </si>
  <si>
    <t>Nebelecky</t>
  </si>
  <si>
    <t>Brenda</t>
  </si>
  <si>
    <t>7164182365</t>
  </si>
  <si>
    <t>Buffalo - Niagara International (BUF)</t>
  </si>
  <si>
    <t>7:12 PM</t>
  </si>
  <si>
    <t>UA 3442</t>
  </si>
  <si>
    <t>Olmos</t>
  </si>
  <si>
    <t>Marcos</t>
  </si>
  <si>
    <t>214-392-9856</t>
  </si>
  <si>
    <t>7:14 PM</t>
  </si>
  <si>
    <t>AA 1878</t>
  </si>
  <si>
    <t>Eash</t>
  </si>
  <si>
    <t>Rosemary</t>
  </si>
  <si>
    <t>574-238-3223</t>
  </si>
  <si>
    <t>Washington - Dulles Intl (IAD)</t>
  </si>
  <si>
    <t>7:22 PM</t>
  </si>
  <si>
    <t>UA 763</t>
  </si>
  <si>
    <t>Le</t>
  </si>
  <si>
    <t>Uyen</t>
  </si>
  <si>
    <t>9254511900</t>
  </si>
  <si>
    <t>San Francisco - International (SFO)</t>
  </si>
  <si>
    <t>7:24 PM</t>
  </si>
  <si>
    <t>UA 2480</t>
  </si>
  <si>
    <t>Grevemeyer</t>
  </si>
  <si>
    <t>Kelly</t>
  </si>
  <si>
    <t>5863217272</t>
  </si>
  <si>
    <t>7:34 PM</t>
  </si>
  <si>
    <t>DL 2942</t>
  </si>
  <si>
    <t>J</t>
  </si>
  <si>
    <t>Gathogo</t>
  </si>
  <si>
    <t>8324664378</t>
  </si>
  <si>
    <t>9:10 PM</t>
  </si>
  <si>
    <t>UA 1369</t>
  </si>
  <si>
    <t>Sanders Mitchell</t>
  </si>
  <si>
    <t>Passion</t>
  </si>
  <si>
    <t>713-409-2575</t>
  </si>
  <si>
    <t>Departure Date</t>
  </si>
  <si>
    <t>Pick-up Time</t>
  </si>
  <si>
    <t>Departure Time</t>
  </si>
  <si>
    <t>Thursday, October 12</t>
  </si>
  <si>
    <t>6:30 AM - Sedan</t>
  </si>
  <si>
    <t>9:39 AM</t>
  </si>
  <si>
    <t>UA 3581</t>
  </si>
  <si>
    <t>9:50 AM</t>
  </si>
  <si>
    <t>DL 4928</t>
  </si>
  <si>
    <t>7:00 AM - SUV</t>
  </si>
  <si>
    <t>10:18 AM</t>
  </si>
  <si>
    <t>United</t>
  </si>
  <si>
    <t>1796</t>
  </si>
  <si>
    <t>UA 1796</t>
  </si>
  <si>
    <t>10:36 AM</t>
  </si>
  <si>
    <t>UA 661</t>
  </si>
  <si>
    <t>1:00 PM - Sedan</t>
  </si>
  <si>
    <t>3:50 PM</t>
  </si>
  <si>
    <t>UA 1482</t>
  </si>
  <si>
    <t>2:00 PM - Mini-Bus</t>
  </si>
  <si>
    <t>4:30 PM</t>
  </si>
  <si>
    <t>UA 1326</t>
  </si>
  <si>
    <t>4:43 PM</t>
  </si>
  <si>
    <t>UA 2121</t>
  </si>
  <si>
    <t>UA 1834</t>
  </si>
  <si>
    <t>4:53 PM</t>
  </si>
  <si>
    <t>UA 2707</t>
  </si>
  <si>
    <t>4:59 PM</t>
  </si>
  <si>
    <t>UA 1611</t>
  </si>
  <si>
    <t>Catuogno</t>
  </si>
  <si>
    <t>Melissa</t>
  </si>
  <si>
    <t>4138968279</t>
  </si>
  <si>
    <t>5:00 PM</t>
  </si>
  <si>
    <t>5:01 PM</t>
  </si>
  <si>
    <t>UA 2113</t>
  </si>
  <si>
    <t>UA 1261</t>
  </si>
  <si>
    <t>5:22 PM</t>
  </si>
  <si>
    <t>AA 2676</t>
  </si>
  <si>
    <t>13145669160</t>
  </si>
  <si>
    <t>5:24 PM</t>
  </si>
  <si>
    <t>AA 558</t>
  </si>
  <si>
    <t>5:35 PM</t>
  </si>
  <si>
    <t>UA 1741</t>
  </si>
  <si>
    <t>5:59 PM</t>
  </si>
  <si>
    <t>UA 1748</t>
  </si>
  <si>
    <t>6:00 PM</t>
  </si>
  <si>
    <t>UA 3427</t>
  </si>
  <si>
    <t>6:12 PM</t>
  </si>
  <si>
    <t>UA 1182</t>
  </si>
  <si>
    <t>6:14 PM</t>
  </si>
  <si>
    <t>UA 2213</t>
  </si>
  <si>
    <t>6:29 PM</t>
  </si>
  <si>
    <t>AS 477</t>
  </si>
  <si>
    <t>6:35 PM</t>
  </si>
  <si>
    <t>DL 2645</t>
  </si>
  <si>
    <t>UA 3684</t>
  </si>
  <si>
    <t>6:40 PM</t>
  </si>
  <si>
    <t>UA 3481</t>
  </si>
  <si>
    <t>6:55 PM</t>
  </si>
  <si>
    <t>DL 1699</t>
  </si>
  <si>
    <t>7:05 PM</t>
  </si>
  <si>
    <t>UA 1153</t>
  </si>
  <si>
    <t>7:36 PM</t>
  </si>
  <si>
    <t>AA 869</t>
  </si>
  <si>
    <t>7:42 PM</t>
  </si>
  <si>
    <t>UA 1247</t>
  </si>
  <si>
    <t>UA 2494</t>
  </si>
  <si>
    <t>UA 762</t>
  </si>
  <si>
    <t>5:30 PM - SUV</t>
  </si>
  <si>
    <t>8:50 PM</t>
  </si>
  <si>
    <t>UA 3502</t>
  </si>
  <si>
    <t>9:24 PM</t>
  </si>
  <si>
    <t>UA 3515</t>
  </si>
  <si>
    <t>9:47 PM</t>
  </si>
  <si>
    <t>UA 3512</t>
  </si>
  <si>
    <t>Friday, October 13</t>
  </si>
  <si>
    <t>1:42 PM</t>
  </si>
  <si>
    <t>AA 1697</t>
  </si>
  <si>
    <t>Saturday, October 14</t>
  </si>
  <si>
    <t>No Ground Needed</t>
  </si>
  <si>
    <t>11:08 AM</t>
  </si>
  <si>
    <t>UA 1525</t>
  </si>
  <si>
    <t>Sunday, October 15</t>
  </si>
  <si>
    <t>10:00 AM</t>
  </si>
  <si>
    <t>UA 2164</t>
  </si>
  <si>
    <t>Bisson</t>
  </si>
  <si>
    <t>617-851-0444</t>
  </si>
  <si>
    <t>Breslin</t>
  </si>
  <si>
    <t>Brian</t>
  </si>
  <si>
    <t>Capobianco</t>
  </si>
  <si>
    <t>Jody</t>
  </si>
  <si>
    <t>DiGillo</t>
  </si>
  <si>
    <t>Mollie</t>
  </si>
  <si>
    <t>Dotro</t>
  </si>
  <si>
    <t>Nancy</t>
  </si>
  <si>
    <t>Gerdeman</t>
  </si>
  <si>
    <t>Tricia</t>
  </si>
  <si>
    <t>Locke</t>
  </si>
  <si>
    <t>Linda</t>
  </si>
  <si>
    <t>Parker</t>
  </si>
  <si>
    <t>Dorothy</t>
  </si>
  <si>
    <t>508-523-3007</t>
  </si>
  <si>
    <t>Pekman</t>
  </si>
  <si>
    <t>David</t>
  </si>
  <si>
    <t>Richardson</t>
  </si>
  <si>
    <t>Emily</t>
  </si>
  <si>
    <t>(908) 295-0665</t>
  </si>
  <si>
    <t>Robinson</t>
  </si>
  <si>
    <t>908-400-6929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</si>
</sst>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theme="1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/>
    <font>
      <i/>
      <sz val="12.0"/>
      <color rgb="FFA5A5A5"/>
      <name val="Calibri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  <fill>
      <patternFill patternType="solid">
        <fgColor rgb="FFFFFFCC"/>
        <bgColor rgb="FFFFFFCC"/>
      </patternFill>
    </fill>
    <fill>
      <patternFill patternType="solid">
        <fgColor rgb="FFEAF1DD"/>
        <bgColor rgb="FFEAF1DD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0" fillId="0" fontId="2" numFmtId="0" xfId="0" applyFont="1"/>
    <xf borderId="5" fillId="2" fontId="1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4" numFmtId="0" xfId="0" applyBorder="1" applyFont="1"/>
    <xf borderId="9" fillId="0" fontId="4" numFmtId="49" xfId="0" applyBorder="1" applyFont="1" applyNumberFormat="1"/>
    <xf borderId="10" fillId="0" fontId="4" numFmtId="49" xfId="0" applyBorder="1" applyFont="1" applyNumberFormat="1"/>
    <xf borderId="10" fillId="0" fontId="4" numFmtId="14" xfId="0" applyAlignment="1" applyBorder="1" applyFont="1" applyNumberFormat="1">
      <alignment horizontal="center"/>
    </xf>
    <xf borderId="10" fillId="0" fontId="4" numFmtId="49" xfId="0" applyAlignment="1" applyBorder="1" applyFont="1" applyNumberFormat="1">
      <alignment horizontal="center"/>
    </xf>
    <xf borderId="11" fillId="0" fontId="4" numFmtId="49" xfId="0" applyBorder="1" applyFont="1" applyNumberFormat="1"/>
    <xf borderId="5" fillId="3" fontId="1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49" xfId="0" applyBorder="1" applyFont="1" applyNumberFormat="1"/>
    <xf borderId="14" fillId="0" fontId="2" numFmtId="49" xfId="0" applyBorder="1" applyFont="1" applyNumberFormat="1"/>
    <xf borderId="14" fillId="0" fontId="2" numFmtId="14" xfId="0" applyAlignment="1" applyBorder="1" applyFont="1" applyNumberFormat="1">
      <alignment horizontal="center"/>
    </xf>
    <xf borderId="14" fillId="0" fontId="2" numFmtId="49" xfId="0" applyAlignment="1" applyBorder="1" applyFont="1" applyNumberFormat="1">
      <alignment horizontal="center"/>
    </xf>
    <xf borderId="15" fillId="0" fontId="2" numFmtId="49" xfId="0" applyBorder="1" applyFont="1" applyNumberFormat="1"/>
    <xf borderId="16" fillId="0" fontId="2" numFmtId="0" xfId="0" applyBorder="1" applyFont="1"/>
    <xf borderId="17" fillId="0" fontId="2" numFmtId="49" xfId="0" applyBorder="1" applyFont="1" applyNumberFormat="1"/>
    <xf borderId="18" fillId="0" fontId="2" numFmtId="49" xfId="0" applyBorder="1" applyFont="1" applyNumberFormat="1"/>
    <xf borderId="18" fillId="0" fontId="2" numFmtId="14" xfId="0" applyAlignment="1" applyBorder="1" applyFont="1" applyNumberFormat="1">
      <alignment horizontal="center"/>
    </xf>
    <xf borderId="18" fillId="0" fontId="2" numFmtId="49" xfId="0" applyAlignment="1" applyBorder="1" applyFont="1" applyNumberFormat="1">
      <alignment horizontal="center"/>
    </xf>
    <xf borderId="19" fillId="0" fontId="2" numFmtId="49" xfId="0" applyBorder="1" applyFont="1" applyNumberFormat="1"/>
    <xf borderId="20" fillId="0" fontId="2" numFmtId="0" xfId="0" applyBorder="1" applyFont="1"/>
    <xf borderId="1" fillId="4" fontId="1" numFmtId="0" xfId="0" applyAlignment="1" applyBorder="1" applyFill="1" applyFont="1">
      <alignment horizontal="center" vertical="center"/>
    </xf>
    <xf borderId="8" fillId="0" fontId="3" numFmtId="0" xfId="0" applyBorder="1" applyFont="1"/>
    <xf borderId="21" fillId="0" fontId="3" numFmtId="0" xfId="0" applyBorder="1" applyFont="1"/>
    <xf borderId="18" fillId="0" fontId="2" numFmtId="49" xfId="0" applyAlignment="1" applyBorder="1" applyFont="1" applyNumberFormat="1">
      <alignment readingOrder="0"/>
    </xf>
    <xf borderId="22" fillId="0" fontId="2" numFmtId="49" xfId="0" applyBorder="1" applyFont="1" applyNumberFormat="1"/>
    <xf borderId="23" fillId="0" fontId="2" numFmtId="49" xfId="0" applyBorder="1" applyFont="1" applyNumberFormat="1"/>
    <xf borderId="23" fillId="0" fontId="2" numFmtId="14" xfId="0" applyAlignment="1" applyBorder="1" applyFont="1" applyNumberFormat="1">
      <alignment horizontal="center"/>
    </xf>
    <xf borderId="23" fillId="0" fontId="2" numFmtId="49" xfId="0" applyAlignment="1" applyBorder="1" applyFont="1" applyNumberFormat="1">
      <alignment horizontal="center"/>
    </xf>
    <xf borderId="24" fillId="0" fontId="2" numFmtId="49" xfId="0" applyBorder="1" applyFont="1" applyNumberFormat="1"/>
    <xf borderId="5" fillId="5" fontId="1" numFmtId="0" xfId="0" applyAlignment="1" applyBorder="1" applyFill="1" applyFont="1">
      <alignment horizontal="center" vertical="center"/>
    </xf>
    <xf borderId="25" fillId="0" fontId="2" numFmtId="49" xfId="0" applyBorder="1" applyFont="1" applyNumberFormat="1"/>
    <xf borderId="26" fillId="0" fontId="2" numFmtId="49" xfId="0" applyBorder="1" applyFont="1" applyNumberFormat="1"/>
    <xf borderId="26" fillId="0" fontId="2" numFmtId="14" xfId="0" applyAlignment="1" applyBorder="1" applyFont="1" applyNumberFormat="1">
      <alignment horizontal="center"/>
    </xf>
    <xf borderId="26" fillId="0" fontId="2" numFmtId="49" xfId="0" applyAlignment="1" applyBorder="1" applyFont="1" applyNumberFormat="1">
      <alignment horizontal="center"/>
    </xf>
    <xf borderId="27" fillId="0" fontId="2" numFmtId="49" xfId="0" applyBorder="1" applyFont="1" applyNumberFormat="1"/>
    <xf borderId="28" fillId="0" fontId="1" numFmtId="0" xfId="0" applyAlignment="1" applyBorder="1" applyFont="1">
      <alignment vertical="center"/>
    </xf>
    <xf borderId="28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9" fillId="0" fontId="2" numFmtId="49" xfId="0" applyBorder="1" applyFont="1" applyNumberFormat="1"/>
    <xf borderId="30" fillId="0" fontId="2" numFmtId="49" xfId="0" applyBorder="1" applyFont="1" applyNumberFormat="1"/>
    <xf borderId="30" fillId="0" fontId="2" numFmtId="14" xfId="0" applyAlignment="1" applyBorder="1" applyFont="1" applyNumberFormat="1">
      <alignment horizontal="center"/>
    </xf>
    <xf borderId="31" fillId="0" fontId="2" numFmtId="49" xfId="0" applyBorder="1" applyFont="1" applyNumberFormat="1"/>
    <xf borderId="1" fillId="0" fontId="1" numFmtId="49" xfId="0" applyAlignment="1" applyBorder="1" applyFont="1" applyNumberFormat="1">
      <alignment horizontal="center" vertical="center"/>
    </xf>
    <xf borderId="32" fillId="0" fontId="2" numFmtId="49" xfId="0" applyAlignment="1" applyBorder="1" applyFont="1" applyNumberFormat="1">
      <alignment horizontal="center"/>
    </xf>
    <xf borderId="33" fillId="0" fontId="2" numFmtId="49" xfId="0" applyBorder="1" applyFont="1" applyNumberFormat="1"/>
    <xf borderId="34" fillId="0" fontId="2" numFmtId="49" xfId="0" applyBorder="1" applyFont="1" applyNumberFormat="1"/>
    <xf borderId="35" fillId="0" fontId="2" numFmtId="49" xfId="0" applyBorder="1" applyFont="1" applyNumberFormat="1"/>
    <xf borderId="17" fillId="0" fontId="2" numFmtId="49" xfId="0" applyAlignment="1" applyBorder="1" applyFont="1" applyNumberFormat="1">
      <alignment horizontal="center"/>
    </xf>
    <xf borderId="36" fillId="0" fontId="2" numFmtId="49" xfId="0" applyBorder="1" applyFont="1" applyNumberFormat="1"/>
    <xf borderId="37" fillId="0" fontId="2" numFmtId="49" xfId="0" applyBorder="1" applyFont="1" applyNumberFormat="1"/>
    <xf borderId="22" fillId="0" fontId="2" numFmtId="49" xfId="0" applyAlignment="1" applyBorder="1" applyFont="1" applyNumberFormat="1">
      <alignment horizontal="center"/>
    </xf>
    <xf borderId="5" fillId="3" fontId="1" numFmtId="49" xfId="0" applyAlignment="1" applyBorder="1" applyFont="1" applyNumberFormat="1">
      <alignment horizontal="center" vertical="center"/>
    </xf>
    <xf borderId="38" fillId="0" fontId="2" numFmtId="49" xfId="0" applyBorder="1" applyFont="1" applyNumberFormat="1"/>
    <xf borderId="10" fillId="0" fontId="2" numFmtId="49" xfId="0" applyBorder="1" applyFont="1" applyNumberFormat="1"/>
    <xf borderId="10" fillId="0" fontId="2" numFmtId="14" xfId="0" applyAlignment="1" applyBorder="1" applyFont="1" applyNumberFormat="1">
      <alignment horizontal="center"/>
    </xf>
    <xf borderId="39" fillId="0" fontId="2" numFmtId="49" xfId="0" applyBorder="1" applyFont="1" applyNumberFormat="1"/>
    <xf borderId="8" fillId="0" fontId="2" numFmtId="49" xfId="0" applyAlignment="1" applyBorder="1" applyFont="1" applyNumberFormat="1">
      <alignment horizontal="center"/>
    </xf>
    <xf borderId="9" fillId="0" fontId="2" numFmtId="49" xfId="0" applyAlignment="1" applyBorder="1" applyFont="1" applyNumberFormat="1">
      <alignment horizontal="center"/>
    </xf>
    <xf borderId="11" fillId="0" fontId="2" numFmtId="49" xfId="0" applyBorder="1" applyFont="1" applyNumberFormat="1"/>
    <xf borderId="5" fillId="5" fontId="1" numFmtId="49" xfId="0" applyAlignment="1" applyBorder="1" applyFont="1" applyNumberFormat="1">
      <alignment horizontal="center"/>
    </xf>
    <xf borderId="38" fillId="0" fontId="4" numFmtId="49" xfId="0" applyBorder="1" applyFont="1" applyNumberFormat="1"/>
    <xf borderId="39" fillId="0" fontId="4" numFmtId="49" xfId="0" applyBorder="1" applyFont="1" applyNumberFormat="1"/>
    <xf borderId="8" fillId="0" fontId="4" numFmtId="49" xfId="0" applyAlignment="1" applyBorder="1" applyFont="1" applyNumberFormat="1">
      <alignment horizontal="center"/>
    </xf>
    <xf borderId="9" fillId="0" fontId="4" numFmtId="49" xfId="0" applyAlignment="1" applyBorder="1" applyFont="1" applyNumberFormat="1">
      <alignment horizontal="center"/>
    </xf>
    <xf borderId="0" fillId="0" fontId="4" numFmtId="0" xfId="0" applyFont="1"/>
    <xf borderId="5" fillId="6" fontId="1" numFmtId="49" xfId="0" applyAlignment="1" applyBorder="1" applyFill="1" applyFont="1" applyNumberFormat="1">
      <alignment horizontal="center"/>
    </xf>
    <xf borderId="40" fillId="0" fontId="4" numFmtId="49" xfId="0" applyBorder="1" applyFont="1" applyNumberFormat="1"/>
    <xf borderId="41" fillId="0" fontId="4" numFmtId="49" xfId="0" applyBorder="1" applyFont="1" applyNumberFormat="1"/>
    <xf borderId="41" fillId="0" fontId="4" numFmtId="14" xfId="0" applyAlignment="1" applyBorder="1" applyFont="1" applyNumberFormat="1">
      <alignment horizontal="center"/>
    </xf>
    <xf borderId="42" fillId="0" fontId="4" numFmtId="49" xfId="0" applyBorder="1" applyFont="1" applyNumberFormat="1"/>
    <xf borderId="43" fillId="0" fontId="4" numFmtId="49" xfId="0" applyAlignment="1" applyBorder="1" applyFont="1" applyNumberFormat="1">
      <alignment horizontal="center"/>
    </xf>
    <xf borderId="44" fillId="0" fontId="4" numFmtId="49" xfId="0" applyAlignment="1" applyBorder="1" applyFont="1" applyNumberFormat="1">
      <alignment horizontal="center"/>
    </xf>
    <xf borderId="45" fillId="0" fontId="4" numFmtId="49" xfId="0" applyBorder="1" applyFont="1" applyNumberFormat="1"/>
    <xf borderId="0" fillId="0" fontId="5" numFmtId="0" xfId="0" applyAlignment="1" applyFont="1">
      <alignment horizontal="center"/>
    </xf>
    <xf borderId="46" fillId="0" fontId="1" numFmtId="0" xfId="0" applyAlignment="1" applyBorder="1" applyFont="1">
      <alignment vertic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6.63"/>
    <col customWidth="1" min="3" max="3" width="11.38"/>
    <col customWidth="1" min="4" max="4" width="23.75"/>
    <col customWidth="1" min="5" max="5" width="12.75"/>
    <col customWidth="1" min="6" max="6" width="48.88"/>
    <col customWidth="1" min="7" max="7" width="12.88"/>
    <col customWidth="1" min="8" max="8" width="38.13"/>
    <col customWidth="1" min="9" max="9" width="22.25"/>
    <col customWidth="1" min="10" max="10" width="15.13"/>
    <col customWidth="1" min="11" max="11" width="41.0"/>
    <col customWidth="1" min="12" max="26" width="8.63"/>
  </cols>
  <sheetData>
    <row r="1" ht="12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7" t="s">
        <v>11</v>
      </c>
      <c r="B2" s="8"/>
      <c r="C2" s="8"/>
      <c r="D2" s="8"/>
      <c r="E2" s="8"/>
      <c r="F2" s="8"/>
      <c r="G2" s="8"/>
      <c r="H2" s="8"/>
      <c r="I2" s="8"/>
      <c r="J2" s="8"/>
      <c r="K2" s="9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10" t="s">
        <v>12</v>
      </c>
      <c r="B3" s="11" t="s">
        <v>13</v>
      </c>
      <c r="C3" s="12" t="s">
        <v>14</v>
      </c>
      <c r="D3" s="12" t="s">
        <v>15</v>
      </c>
      <c r="E3" s="13">
        <f>DATE(2023,10,8)</f>
        <v>45207</v>
      </c>
      <c r="F3" s="12" t="s">
        <v>16</v>
      </c>
      <c r="G3" s="14" t="s">
        <v>17</v>
      </c>
      <c r="H3" s="12" t="s">
        <v>18</v>
      </c>
      <c r="I3" s="12" t="s">
        <v>19</v>
      </c>
      <c r="J3" s="12" t="s">
        <v>20</v>
      </c>
      <c r="K3" s="1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16" t="s">
        <v>21</v>
      </c>
      <c r="B4" s="8"/>
      <c r="C4" s="8"/>
      <c r="D4" s="8"/>
      <c r="E4" s="8"/>
      <c r="F4" s="8"/>
      <c r="G4" s="8"/>
      <c r="H4" s="8"/>
      <c r="I4" s="8"/>
      <c r="J4" s="8"/>
      <c r="K4" s="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17"/>
      <c r="B5" s="18" t="s">
        <v>22</v>
      </c>
      <c r="C5" s="19" t="s">
        <v>23</v>
      </c>
      <c r="D5" s="19" t="s">
        <v>24</v>
      </c>
      <c r="E5" s="20">
        <f t="shared" ref="E5:E14" si="1">DATE(2023,10,9)</f>
        <v>45208</v>
      </c>
      <c r="F5" s="19" t="s">
        <v>25</v>
      </c>
      <c r="G5" s="21" t="s">
        <v>26</v>
      </c>
      <c r="H5" s="19" t="s">
        <v>18</v>
      </c>
      <c r="I5" s="19" t="s">
        <v>27</v>
      </c>
      <c r="J5" s="19" t="s">
        <v>28</v>
      </c>
      <c r="K5" s="22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23"/>
      <c r="B6" s="24" t="s">
        <v>29</v>
      </c>
      <c r="C6" s="25" t="s">
        <v>30</v>
      </c>
      <c r="D6" s="25" t="s">
        <v>31</v>
      </c>
      <c r="E6" s="26">
        <f t="shared" si="1"/>
        <v>45208</v>
      </c>
      <c r="F6" s="25" t="s">
        <v>32</v>
      </c>
      <c r="G6" s="27" t="s">
        <v>33</v>
      </c>
      <c r="H6" s="25" t="s">
        <v>18</v>
      </c>
      <c r="I6" s="25" t="s">
        <v>34</v>
      </c>
      <c r="J6" s="25" t="s">
        <v>35</v>
      </c>
      <c r="K6" s="28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23"/>
      <c r="B7" s="24" t="s">
        <v>36</v>
      </c>
      <c r="C7" s="25" t="s">
        <v>37</v>
      </c>
      <c r="D7" s="25" t="s">
        <v>38</v>
      </c>
      <c r="E7" s="26">
        <f t="shared" si="1"/>
        <v>45208</v>
      </c>
      <c r="F7" s="25" t="s">
        <v>39</v>
      </c>
      <c r="G7" s="27" t="s">
        <v>40</v>
      </c>
      <c r="H7" s="25" t="s">
        <v>18</v>
      </c>
      <c r="I7" s="25" t="s">
        <v>19</v>
      </c>
      <c r="J7" s="25" t="s">
        <v>41</v>
      </c>
      <c r="K7" s="2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23"/>
      <c r="B8" s="24" t="s">
        <v>42</v>
      </c>
      <c r="C8" s="25" t="s">
        <v>43</v>
      </c>
      <c r="D8" s="25" t="s">
        <v>44</v>
      </c>
      <c r="E8" s="26">
        <f t="shared" si="1"/>
        <v>45208</v>
      </c>
      <c r="F8" s="25" t="s">
        <v>45</v>
      </c>
      <c r="G8" s="27" t="s">
        <v>46</v>
      </c>
      <c r="H8" s="25" t="s">
        <v>18</v>
      </c>
      <c r="I8" s="25" t="s">
        <v>47</v>
      </c>
      <c r="J8" s="25" t="s">
        <v>48</v>
      </c>
      <c r="K8" s="2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29"/>
      <c r="B9" s="24" t="s">
        <v>49</v>
      </c>
      <c r="C9" s="25" t="s">
        <v>50</v>
      </c>
      <c r="D9" s="25" t="s">
        <v>51</v>
      </c>
      <c r="E9" s="26">
        <f t="shared" si="1"/>
        <v>45208</v>
      </c>
      <c r="F9" s="25" t="s">
        <v>39</v>
      </c>
      <c r="G9" s="27" t="s">
        <v>52</v>
      </c>
      <c r="H9" s="25" t="s">
        <v>18</v>
      </c>
      <c r="I9" s="25" t="s">
        <v>19</v>
      </c>
      <c r="J9" s="25" t="s">
        <v>53</v>
      </c>
      <c r="K9" s="2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0" t="s">
        <v>54</v>
      </c>
      <c r="B10" s="24" t="s">
        <v>55</v>
      </c>
      <c r="C10" s="25" t="s">
        <v>56</v>
      </c>
      <c r="D10" s="25" t="s">
        <v>57</v>
      </c>
      <c r="E10" s="26">
        <f t="shared" si="1"/>
        <v>45208</v>
      </c>
      <c r="F10" s="25" t="s">
        <v>58</v>
      </c>
      <c r="G10" s="27" t="s">
        <v>59</v>
      </c>
      <c r="H10" s="25" t="s">
        <v>18</v>
      </c>
      <c r="I10" s="25" t="s">
        <v>34</v>
      </c>
      <c r="J10" s="25" t="s">
        <v>60</v>
      </c>
      <c r="K10" s="2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31"/>
      <c r="B11" s="24" t="s">
        <v>61</v>
      </c>
      <c r="C11" s="25" t="s">
        <v>62</v>
      </c>
      <c r="D11" s="25" t="s">
        <v>63</v>
      </c>
      <c r="E11" s="26">
        <f t="shared" si="1"/>
        <v>45208</v>
      </c>
      <c r="F11" s="25" t="s">
        <v>58</v>
      </c>
      <c r="G11" s="27" t="s">
        <v>59</v>
      </c>
      <c r="H11" s="25" t="s">
        <v>18</v>
      </c>
      <c r="I11" s="25" t="s">
        <v>34</v>
      </c>
      <c r="J11" s="25" t="s">
        <v>60</v>
      </c>
      <c r="K11" s="2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32"/>
      <c r="B12" s="24" t="s">
        <v>64</v>
      </c>
      <c r="C12" s="25" t="s">
        <v>65</v>
      </c>
      <c r="D12" s="33" t="s">
        <v>66</v>
      </c>
      <c r="E12" s="26">
        <f t="shared" si="1"/>
        <v>45208</v>
      </c>
      <c r="F12" s="25" t="s">
        <v>58</v>
      </c>
      <c r="G12" s="27" t="s">
        <v>59</v>
      </c>
      <c r="H12" s="25" t="s">
        <v>18</v>
      </c>
      <c r="I12" s="25" t="s">
        <v>34</v>
      </c>
      <c r="J12" s="25" t="s">
        <v>60</v>
      </c>
      <c r="K12" s="2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17"/>
      <c r="B13" s="24" t="s">
        <v>67</v>
      </c>
      <c r="C13" s="25" t="s">
        <v>68</v>
      </c>
      <c r="D13" s="25" t="s">
        <v>69</v>
      </c>
      <c r="E13" s="26">
        <f t="shared" si="1"/>
        <v>45208</v>
      </c>
      <c r="F13" s="25" t="s">
        <v>16</v>
      </c>
      <c r="G13" s="27" t="s">
        <v>17</v>
      </c>
      <c r="H13" s="25" t="s">
        <v>18</v>
      </c>
      <c r="I13" s="25" t="s">
        <v>19</v>
      </c>
      <c r="J13" s="25" t="s">
        <v>20</v>
      </c>
      <c r="K13" s="2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29"/>
      <c r="B14" s="34" t="s">
        <v>70</v>
      </c>
      <c r="C14" s="35" t="s">
        <v>71</v>
      </c>
      <c r="D14" s="35" t="s">
        <v>72</v>
      </c>
      <c r="E14" s="36">
        <f t="shared" si="1"/>
        <v>45208</v>
      </c>
      <c r="F14" s="35" t="s">
        <v>39</v>
      </c>
      <c r="G14" s="37" t="s">
        <v>73</v>
      </c>
      <c r="H14" s="35" t="s">
        <v>18</v>
      </c>
      <c r="I14" s="35" t="s">
        <v>19</v>
      </c>
      <c r="J14" s="35" t="s">
        <v>74</v>
      </c>
      <c r="K14" s="3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39" t="s">
        <v>75</v>
      </c>
      <c r="B15" s="8"/>
      <c r="C15" s="8"/>
      <c r="D15" s="8"/>
      <c r="E15" s="8"/>
      <c r="F15" s="8"/>
      <c r="G15" s="8"/>
      <c r="H15" s="8"/>
      <c r="I15" s="8"/>
      <c r="J15" s="8"/>
      <c r="K15" s="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17"/>
      <c r="B16" s="18" t="s">
        <v>76</v>
      </c>
      <c r="C16" s="19" t="s">
        <v>77</v>
      </c>
      <c r="D16" s="19" t="s">
        <v>78</v>
      </c>
      <c r="E16" s="20">
        <f t="shared" ref="E16:E68" si="2">DATE(2023,10,10)</f>
        <v>45209</v>
      </c>
      <c r="F16" s="19" t="s">
        <v>79</v>
      </c>
      <c r="G16" s="21" t="s">
        <v>80</v>
      </c>
      <c r="H16" s="19" t="s">
        <v>18</v>
      </c>
      <c r="I16" s="19" t="s">
        <v>19</v>
      </c>
      <c r="J16" s="19" t="s">
        <v>81</v>
      </c>
      <c r="K16" s="22" t="s">
        <v>82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23"/>
      <c r="B17" s="24" t="s">
        <v>83</v>
      </c>
      <c r="C17" s="25" t="s">
        <v>84</v>
      </c>
      <c r="D17" s="25" t="s">
        <v>85</v>
      </c>
      <c r="E17" s="26">
        <f t="shared" si="2"/>
        <v>45209</v>
      </c>
      <c r="F17" s="25" t="s">
        <v>86</v>
      </c>
      <c r="G17" s="27" t="s">
        <v>26</v>
      </c>
      <c r="H17" s="25" t="s">
        <v>18</v>
      </c>
      <c r="I17" s="25" t="s">
        <v>19</v>
      </c>
      <c r="J17" s="25" t="s">
        <v>87</v>
      </c>
      <c r="K17" s="28" t="s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29"/>
      <c r="B18" s="24" t="s">
        <v>89</v>
      </c>
      <c r="C18" s="25" t="s">
        <v>90</v>
      </c>
      <c r="D18" s="25" t="s">
        <v>91</v>
      </c>
      <c r="E18" s="26">
        <f t="shared" si="2"/>
        <v>45209</v>
      </c>
      <c r="F18" s="25" t="s">
        <v>92</v>
      </c>
      <c r="G18" s="27" t="s">
        <v>93</v>
      </c>
      <c r="H18" s="25" t="s">
        <v>18</v>
      </c>
      <c r="I18" s="25" t="s">
        <v>19</v>
      </c>
      <c r="J18" s="25" t="s">
        <v>94</v>
      </c>
      <c r="K18" s="2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30" t="s">
        <v>54</v>
      </c>
      <c r="B19" s="24" t="s">
        <v>95</v>
      </c>
      <c r="C19" s="25" t="s">
        <v>96</v>
      </c>
      <c r="D19" s="25" t="s">
        <v>97</v>
      </c>
      <c r="E19" s="26">
        <f t="shared" si="2"/>
        <v>45209</v>
      </c>
      <c r="F19" s="25" t="s">
        <v>32</v>
      </c>
      <c r="G19" s="27" t="s">
        <v>33</v>
      </c>
      <c r="H19" s="25" t="s">
        <v>18</v>
      </c>
      <c r="I19" s="25" t="s">
        <v>34</v>
      </c>
      <c r="J19" s="25" t="s">
        <v>35</v>
      </c>
      <c r="K19" s="2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32"/>
      <c r="B20" s="24" t="s">
        <v>98</v>
      </c>
      <c r="C20" s="25" t="s">
        <v>99</v>
      </c>
      <c r="D20" s="25" t="s">
        <v>100</v>
      </c>
      <c r="E20" s="26">
        <f t="shared" si="2"/>
        <v>45209</v>
      </c>
      <c r="F20" s="25" t="s">
        <v>32</v>
      </c>
      <c r="G20" s="27" t="s">
        <v>33</v>
      </c>
      <c r="H20" s="25" t="s">
        <v>18</v>
      </c>
      <c r="I20" s="25" t="s">
        <v>34</v>
      </c>
      <c r="J20" s="25" t="s">
        <v>35</v>
      </c>
      <c r="K20" s="2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30" t="s">
        <v>101</v>
      </c>
      <c r="B21" s="24" t="s">
        <v>102</v>
      </c>
      <c r="C21" s="25" t="s">
        <v>103</v>
      </c>
      <c r="D21" s="25" t="s">
        <v>104</v>
      </c>
      <c r="E21" s="26">
        <f t="shared" si="2"/>
        <v>45209</v>
      </c>
      <c r="F21" s="25" t="s">
        <v>105</v>
      </c>
      <c r="G21" s="27" t="s">
        <v>106</v>
      </c>
      <c r="H21" s="25" t="s">
        <v>18</v>
      </c>
      <c r="I21" s="25" t="s">
        <v>19</v>
      </c>
      <c r="J21" s="25" t="s">
        <v>107</v>
      </c>
      <c r="K21" s="2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32"/>
      <c r="B22" s="24" t="s">
        <v>108</v>
      </c>
      <c r="C22" s="25" t="s">
        <v>109</v>
      </c>
      <c r="D22" s="25" t="s">
        <v>110</v>
      </c>
      <c r="E22" s="26">
        <f t="shared" si="2"/>
        <v>45209</v>
      </c>
      <c r="F22" s="25" t="s">
        <v>105</v>
      </c>
      <c r="G22" s="27" t="s">
        <v>106</v>
      </c>
      <c r="H22" s="25" t="s">
        <v>18</v>
      </c>
      <c r="I22" s="25" t="s">
        <v>19</v>
      </c>
      <c r="J22" s="25" t="s">
        <v>107</v>
      </c>
      <c r="K22" s="2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17"/>
      <c r="B23" s="24" t="s">
        <v>111</v>
      </c>
      <c r="C23" s="25" t="s">
        <v>112</v>
      </c>
      <c r="D23" s="25" t="s">
        <v>113</v>
      </c>
      <c r="E23" s="26">
        <f t="shared" si="2"/>
        <v>45209</v>
      </c>
      <c r="F23" s="25" t="s">
        <v>114</v>
      </c>
      <c r="G23" s="27" t="s">
        <v>115</v>
      </c>
      <c r="H23" s="25" t="s">
        <v>18</v>
      </c>
      <c r="I23" s="25" t="s">
        <v>19</v>
      </c>
      <c r="J23" s="25" t="s">
        <v>116</v>
      </c>
      <c r="K23" s="2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23"/>
      <c r="B24" s="24" t="s">
        <v>117</v>
      </c>
      <c r="C24" s="25" t="s">
        <v>118</v>
      </c>
      <c r="D24" s="25" t="s">
        <v>119</v>
      </c>
      <c r="E24" s="26">
        <f t="shared" si="2"/>
        <v>45209</v>
      </c>
      <c r="F24" s="25" t="s">
        <v>120</v>
      </c>
      <c r="G24" s="27" t="s">
        <v>121</v>
      </c>
      <c r="H24" s="25" t="s">
        <v>18</v>
      </c>
      <c r="I24" s="25" t="s">
        <v>19</v>
      </c>
      <c r="J24" s="25" t="s">
        <v>122</v>
      </c>
      <c r="K24" s="2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23"/>
      <c r="B25" s="24" t="s">
        <v>123</v>
      </c>
      <c r="C25" s="25" t="s">
        <v>124</v>
      </c>
      <c r="D25" s="25" t="s">
        <v>125</v>
      </c>
      <c r="E25" s="26">
        <f t="shared" si="2"/>
        <v>45209</v>
      </c>
      <c r="F25" s="25" t="s">
        <v>126</v>
      </c>
      <c r="G25" s="27" t="s">
        <v>127</v>
      </c>
      <c r="H25" s="25" t="s">
        <v>18</v>
      </c>
      <c r="I25" s="25" t="s">
        <v>27</v>
      </c>
      <c r="J25" s="25" t="s">
        <v>128</v>
      </c>
      <c r="K25" s="2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29"/>
      <c r="B26" s="24" t="s">
        <v>129</v>
      </c>
      <c r="C26" s="25" t="s">
        <v>130</v>
      </c>
      <c r="D26" s="25" t="s">
        <v>131</v>
      </c>
      <c r="E26" s="26">
        <f t="shared" si="2"/>
        <v>45209</v>
      </c>
      <c r="F26" s="25" t="s">
        <v>132</v>
      </c>
      <c r="G26" s="27" t="s">
        <v>133</v>
      </c>
      <c r="H26" s="25" t="s">
        <v>18</v>
      </c>
      <c r="I26" s="25" t="s">
        <v>27</v>
      </c>
      <c r="J26" s="25" t="s">
        <v>134</v>
      </c>
      <c r="K26" s="2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30" t="s">
        <v>135</v>
      </c>
      <c r="B27" s="24" t="s">
        <v>136</v>
      </c>
      <c r="C27" s="25" t="s">
        <v>137</v>
      </c>
      <c r="D27" s="25" t="s">
        <v>138</v>
      </c>
      <c r="E27" s="26">
        <f t="shared" si="2"/>
        <v>45209</v>
      </c>
      <c r="F27" s="25" t="s">
        <v>139</v>
      </c>
      <c r="G27" s="27" t="s">
        <v>140</v>
      </c>
      <c r="H27" s="25" t="s">
        <v>18</v>
      </c>
      <c r="I27" s="25" t="s">
        <v>19</v>
      </c>
      <c r="J27" s="25" t="s">
        <v>141</v>
      </c>
      <c r="K27" s="2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32"/>
      <c r="B28" s="24" t="s">
        <v>142</v>
      </c>
      <c r="C28" s="25" t="s">
        <v>143</v>
      </c>
      <c r="D28" s="25" t="s">
        <v>144</v>
      </c>
      <c r="E28" s="26">
        <f t="shared" si="2"/>
        <v>45209</v>
      </c>
      <c r="F28" s="25" t="s">
        <v>139</v>
      </c>
      <c r="G28" s="27" t="s">
        <v>140</v>
      </c>
      <c r="H28" s="25" t="s">
        <v>18</v>
      </c>
      <c r="I28" s="25" t="s">
        <v>19</v>
      </c>
      <c r="J28" s="25" t="s">
        <v>141</v>
      </c>
      <c r="K28" s="2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17"/>
      <c r="B29" s="24" t="s">
        <v>145</v>
      </c>
      <c r="C29" s="25" t="s">
        <v>146</v>
      </c>
      <c r="D29" s="25" t="s">
        <v>147</v>
      </c>
      <c r="E29" s="26">
        <f t="shared" si="2"/>
        <v>45209</v>
      </c>
      <c r="F29" s="25" t="s">
        <v>148</v>
      </c>
      <c r="G29" s="27" t="s">
        <v>149</v>
      </c>
      <c r="H29" s="25" t="s">
        <v>18</v>
      </c>
      <c r="I29" s="25" t="s">
        <v>27</v>
      </c>
      <c r="J29" s="25" t="s">
        <v>150</v>
      </c>
      <c r="K29" s="28" t="s">
        <v>151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23"/>
      <c r="B30" s="24" t="s">
        <v>152</v>
      </c>
      <c r="C30" s="25" t="s">
        <v>153</v>
      </c>
      <c r="D30" s="25" t="s">
        <v>154</v>
      </c>
      <c r="E30" s="26">
        <f t="shared" si="2"/>
        <v>45209</v>
      </c>
      <c r="F30" s="25" t="s">
        <v>155</v>
      </c>
      <c r="G30" s="27" t="s">
        <v>149</v>
      </c>
      <c r="H30" s="25" t="s">
        <v>18</v>
      </c>
      <c r="I30" s="25" t="s">
        <v>19</v>
      </c>
      <c r="J30" s="25" t="s">
        <v>156</v>
      </c>
      <c r="K30" s="28" t="s">
        <v>82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23"/>
      <c r="B31" s="24" t="s">
        <v>157</v>
      </c>
      <c r="C31" s="25" t="s">
        <v>158</v>
      </c>
      <c r="D31" s="25" t="s">
        <v>159</v>
      </c>
      <c r="E31" s="26">
        <f t="shared" si="2"/>
        <v>45209</v>
      </c>
      <c r="F31" s="25" t="s">
        <v>160</v>
      </c>
      <c r="G31" s="27" t="s">
        <v>161</v>
      </c>
      <c r="H31" s="25" t="s">
        <v>18</v>
      </c>
      <c r="I31" s="25" t="s">
        <v>19</v>
      </c>
      <c r="J31" s="25" t="s">
        <v>162</v>
      </c>
      <c r="K31" s="28" t="s">
        <v>82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23"/>
      <c r="B32" s="24" t="s">
        <v>163</v>
      </c>
      <c r="C32" s="25" t="s">
        <v>164</v>
      </c>
      <c r="D32" s="25" t="s">
        <v>165</v>
      </c>
      <c r="E32" s="26">
        <f t="shared" si="2"/>
        <v>45209</v>
      </c>
      <c r="F32" s="25" t="s">
        <v>166</v>
      </c>
      <c r="G32" s="27" t="s">
        <v>167</v>
      </c>
      <c r="H32" s="25" t="s">
        <v>18</v>
      </c>
      <c r="I32" s="25" t="s">
        <v>19</v>
      </c>
      <c r="J32" s="25" t="s">
        <v>168</v>
      </c>
      <c r="K32" s="2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29"/>
      <c r="B33" s="24" t="s">
        <v>169</v>
      </c>
      <c r="C33" s="25" t="s">
        <v>99</v>
      </c>
      <c r="D33" s="25" t="s">
        <v>170</v>
      </c>
      <c r="E33" s="26">
        <f t="shared" si="2"/>
        <v>45209</v>
      </c>
      <c r="F33" s="25" t="s">
        <v>171</v>
      </c>
      <c r="G33" s="27" t="s">
        <v>172</v>
      </c>
      <c r="H33" s="25" t="s">
        <v>18</v>
      </c>
      <c r="I33" s="25" t="s">
        <v>19</v>
      </c>
      <c r="J33" s="25" t="s">
        <v>173</v>
      </c>
      <c r="K33" s="28" t="s">
        <v>82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30" t="s">
        <v>174</v>
      </c>
      <c r="B34" s="24" t="s">
        <v>175</v>
      </c>
      <c r="C34" s="25" t="s">
        <v>176</v>
      </c>
      <c r="D34" s="25" t="s">
        <v>177</v>
      </c>
      <c r="E34" s="26">
        <f t="shared" si="2"/>
        <v>45209</v>
      </c>
      <c r="F34" s="25" t="s">
        <v>178</v>
      </c>
      <c r="G34" s="27" t="s">
        <v>179</v>
      </c>
      <c r="H34" s="25" t="s">
        <v>18</v>
      </c>
      <c r="I34" s="25" t="s">
        <v>19</v>
      </c>
      <c r="J34" s="25" t="s">
        <v>180</v>
      </c>
      <c r="K34" s="2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32"/>
      <c r="B35" s="24" t="s">
        <v>181</v>
      </c>
      <c r="C35" s="25" t="s">
        <v>182</v>
      </c>
      <c r="D35" s="25" t="s">
        <v>183</v>
      </c>
      <c r="E35" s="26">
        <f t="shared" si="2"/>
        <v>45209</v>
      </c>
      <c r="F35" s="25" t="s">
        <v>178</v>
      </c>
      <c r="G35" s="27" t="s">
        <v>179</v>
      </c>
      <c r="H35" s="25" t="s">
        <v>18</v>
      </c>
      <c r="I35" s="25" t="s">
        <v>19</v>
      </c>
      <c r="J35" s="25" t="s">
        <v>180</v>
      </c>
      <c r="K35" s="2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17"/>
      <c r="B36" s="24" t="s">
        <v>184</v>
      </c>
      <c r="C36" s="25" t="s">
        <v>185</v>
      </c>
      <c r="D36" s="25" t="s">
        <v>186</v>
      </c>
      <c r="E36" s="26">
        <f t="shared" si="2"/>
        <v>45209</v>
      </c>
      <c r="F36" s="25" t="s">
        <v>187</v>
      </c>
      <c r="G36" s="27" t="s">
        <v>188</v>
      </c>
      <c r="H36" s="25" t="s">
        <v>18</v>
      </c>
      <c r="I36" s="25" t="s">
        <v>19</v>
      </c>
      <c r="J36" s="25" t="s">
        <v>189</v>
      </c>
      <c r="K36" s="28" t="s">
        <v>82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23"/>
      <c r="B37" s="24" t="s">
        <v>190</v>
      </c>
      <c r="C37" s="25" t="s">
        <v>191</v>
      </c>
      <c r="D37" s="25" t="s">
        <v>192</v>
      </c>
      <c r="E37" s="26">
        <f t="shared" si="2"/>
        <v>45209</v>
      </c>
      <c r="F37" s="25" t="s">
        <v>193</v>
      </c>
      <c r="G37" s="27" t="s">
        <v>194</v>
      </c>
      <c r="H37" s="25" t="s">
        <v>18</v>
      </c>
      <c r="I37" s="25" t="s">
        <v>19</v>
      </c>
      <c r="J37" s="25" t="s">
        <v>195</v>
      </c>
      <c r="K37" s="2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23"/>
      <c r="B38" s="24" t="s">
        <v>196</v>
      </c>
      <c r="C38" s="25" t="s">
        <v>30</v>
      </c>
      <c r="D38" s="25" t="s">
        <v>197</v>
      </c>
      <c r="E38" s="26">
        <f t="shared" si="2"/>
        <v>45209</v>
      </c>
      <c r="F38" s="25" t="s">
        <v>166</v>
      </c>
      <c r="G38" s="27" t="s">
        <v>198</v>
      </c>
      <c r="H38" s="25" t="s">
        <v>18</v>
      </c>
      <c r="I38" s="25" t="s">
        <v>19</v>
      </c>
      <c r="J38" s="25" t="s">
        <v>199</v>
      </c>
      <c r="K38" s="2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23"/>
      <c r="B39" s="24" t="s">
        <v>200</v>
      </c>
      <c r="C39" s="25" t="s">
        <v>201</v>
      </c>
      <c r="D39" s="25" t="s">
        <v>202</v>
      </c>
      <c r="E39" s="26">
        <f t="shared" si="2"/>
        <v>45209</v>
      </c>
      <c r="F39" s="25" t="s">
        <v>203</v>
      </c>
      <c r="G39" s="27" t="s">
        <v>204</v>
      </c>
      <c r="H39" s="25" t="s">
        <v>18</v>
      </c>
      <c r="I39" s="25" t="s">
        <v>34</v>
      </c>
      <c r="J39" s="25" t="s">
        <v>205</v>
      </c>
      <c r="K39" s="2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29"/>
      <c r="B40" s="24" t="s">
        <v>206</v>
      </c>
      <c r="C40" s="25" t="s">
        <v>207</v>
      </c>
      <c r="D40" s="25" t="s">
        <v>208</v>
      </c>
      <c r="E40" s="26">
        <f t="shared" si="2"/>
        <v>45209</v>
      </c>
      <c r="F40" s="25" t="s">
        <v>209</v>
      </c>
      <c r="G40" s="27" t="s">
        <v>210</v>
      </c>
      <c r="H40" s="25" t="s">
        <v>18</v>
      </c>
      <c r="I40" s="25" t="s">
        <v>19</v>
      </c>
      <c r="J40" s="25" t="s">
        <v>211</v>
      </c>
      <c r="K40" s="2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30" t="s">
        <v>212</v>
      </c>
      <c r="B41" s="24" t="s">
        <v>213</v>
      </c>
      <c r="C41" s="25" t="s">
        <v>214</v>
      </c>
      <c r="D41" s="25" t="s">
        <v>215</v>
      </c>
      <c r="E41" s="26">
        <f t="shared" si="2"/>
        <v>45209</v>
      </c>
      <c r="F41" s="25" t="s">
        <v>25</v>
      </c>
      <c r="G41" s="27" t="s">
        <v>216</v>
      </c>
      <c r="H41" s="25" t="s">
        <v>18</v>
      </c>
      <c r="I41" s="25" t="s">
        <v>27</v>
      </c>
      <c r="J41" s="25" t="s">
        <v>217</v>
      </c>
      <c r="K41" s="28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32"/>
      <c r="B42" s="24" t="s">
        <v>218</v>
      </c>
      <c r="C42" s="25" t="s">
        <v>219</v>
      </c>
      <c r="D42" s="25" t="s">
        <v>220</v>
      </c>
      <c r="E42" s="26">
        <f t="shared" si="2"/>
        <v>45209</v>
      </c>
      <c r="F42" s="25" t="s">
        <v>25</v>
      </c>
      <c r="G42" s="27" t="s">
        <v>216</v>
      </c>
      <c r="H42" s="25" t="s">
        <v>18</v>
      </c>
      <c r="I42" s="25" t="s">
        <v>27</v>
      </c>
      <c r="J42" s="25" t="s">
        <v>217</v>
      </c>
      <c r="K42" s="2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30" t="s">
        <v>221</v>
      </c>
      <c r="B43" s="24" t="s">
        <v>222</v>
      </c>
      <c r="C43" s="25" t="s">
        <v>223</v>
      </c>
      <c r="D43" s="25" t="s">
        <v>224</v>
      </c>
      <c r="E43" s="26">
        <f t="shared" si="2"/>
        <v>45209</v>
      </c>
      <c r="F43" s="25" t="s">
        <v>126</v>
      </c>
      <c r="G43" s="27" t="s">
        <v>225</v>
      </c>
      <c r="H43" s="25" t="s">
        <v>18</v>
      </c>
      <c r="I43" s="25" t="s">
        <v>27</v>
      </c>
      <c r="J43" s="25" t="s">
        <v>226</v>
      </c>
      <c r="K43" s="28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31"/>
      <c r="B44" s="24" t="s">
        <v>227</v>
      </c>
      <c r="C44" s="25" t="s">
        <v>228</v>
      </c>
      <c r="D44" s="25" t="s">
        <v>229</v>
      </c>
      <c r="E44" s="26">
        <f t="shared" si="2"/>
        <v>45209</v>
      </c>
      <c r="F44" s="25" t="s">
        <v>126</v>
      </c>
      <c r="G44" s="27" t="s">
        <v>225</v>
      </c>
      <c r="H44" s="25" t="s">
        <v>18</v>
      </c>
      <c r="I44" s="25" t="s">
        <v>27</v>
      </c>
      <c r="J44" s="25" t="s">
        <v>226</v>
      </c>
      <c r="K44" s="28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32"/>
      <c r="B45" s="24" t="s">
        <v>230</v>
      </c>
      <c r="C45" s="25" t="s">
        <v>231</v>
      </c>
      <c r="D45" s="25" t="s">
        <v>232</v>
      </c>
      <c r="E45" s="26">
        <f t="shared" si="2"/>
        <v>45209</v>
      </c>
      <c r="F45" s="25" t="s">
        <v>126</v>
      </c>
      <c r="G45" s="27" t="s">
        <v>225</v>
      </c>
      <c r="H45" s="25" t="s">
        <v>18</v>
      </c>
      <c r="I45" s="25" t="s">
        <v>27</v>
      </c>
      <c r="J45" s="25" t="s">
        <v>226</v>
      </c>
      <c r="K45" s="28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17"/>
      <c r="B46" s="24" t="s">
        <v>233</v>
      </c>
      <c r="C46" s="25" t="s">
        <v>234</v>
      </c>
      <c r="D46" s="25" t="s">
        <v>235</v>
      </c>
      <c r="E46" s="26">
        <f t="shared" si="2"/>
        <v>45209</v>
      </c>
      <c r="F46" s="25" t="s">
        <v>236</v>
      </c>
      <c r="G46" s="27" t="s">
        <v>237</v>
      </c>
      <c r="H46" s="25" t="s">
        <v>18</v>
      </c>
      <c r="I46" s="25" t="s">
        <v>19</v>
      </c>
      <c r="J46" s="25" t="s">
        <v>238</v>
      </c>
      <c r="K46" s="28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29"/>
      <c r="B47" s="24" t="s">
        <v>239</v>
      </c>
      <c r="C47" s="25" t="s">
        <v>240</v>
      </c>
      <c r="D47" s="25" t="s">
        <v>241</v>
      </c>
      <c r="E47" s="26">
        <f t="shared" si="2"/>
        <v>45209</v>
      </c>
      <c r="F47" s="25" t="s">
        <v>58</v>
      </c>
      <c r="G47" s="27" t="s">
        <v>242</v>
      </c>
      <c r="H47" s="25" t="s">
        <v>18</v>
      </c>
      <c r="I47" s="25" t="s">
        <v>34</v>
      </c>
      <c r="J47" s="25" t="s">
        <v>243</v>
      </c>
      <c r="K47" s="2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30" t="s">
        <v>244</v>
      </c>
      <c r="B48" s="24" t="s">
        <v>245</v>
      </c>
      <c r="C48" s="25" t="s">
        <v>246</v>
      </c>
      <c r="D48" s="25" t="s">
        <v>247</v>
      </c>
      <c r="E48" s="26">
        <f t="shared" si="2"/>
        <v>45209</v>
      </c>
      <c r="F48" s="25" t="s">
        <v>166</v>
      </c>
      <c r="G48" s="27" t="s">
        <v>248</v>
      </c>
      <c r="H48" s="25" t="s">
        <v>18</v>
      </c>
      <c r="I48" s="25" t="s">
        <v>19</v>
      </c>
      <c r="J48" s="25" t="s">
        <v>249</v>
      </c>
      <c r="K48" s="2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32"/>
      <c r="B49" s="24" t="s">
        <v>246</v>
      </c>
      <c r="C49" s="25" t="s">
        <v>250</v>
      </c>
      <c r="D49" s="25" t="s">
        <v>251</v>
      </c>
      <c r="E49" s="26">
        <f t="shared" si="2"/>
        <v>45209</v>
      </c>
      <c r="F49" s="25" t="s">
        <v>166</v>
      </c>
      <c r="G49" s="27" t="s">
        <v>248</v>
      </c>
      <c r="H49" s="25" t="s">
        <v>18</v>
      </c>
      <c r="I49" s="25" t="s">
        <v>19</v>
      </c>
      <c r="J49" s="25" t="s">
        <v>249</v>
      </c>
      <c r="K49" s="2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30" t="s">
        <v>252</v>
      </c>
      <c r="B50" s="24" t="s">
        <v>253</v>
      </c>
      <c r="C50" s="25" t="s">
        <v>254</v>
      </c>
      <c r="D50" s="25" t="s">
        <v>255</v>
      </c>
      <c r="E50" s="26">
        <f t="shared" si="2"/>
        <v>45209</v>
      </c>
      <c r="F50" s="25" t="s">
        <v>256</v>
      </c>
      <c r="G50" s="27" t="s">
        <v>257</v>
      </c>
      <c r="H50" s="25" t="s">
        <v>18</v>
      </c>
      <c r="I50" s="25" t="s">
        <v>19</v>
      </c>
      <c r="J50" s="25" t="s">
        <v>258</v>
      </c>
      <c r="K50" s="2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32"/>
      <c r="B51" s="24" t="s">
        <v>259</v>
      </c>
      <c r="C51" s="25" t="s">
        <v>260</v>
      </c>
      <c r="D51" s="25" t="s">
        <v>261</v>
      </c>
      <c r="E51" s="26">
        <f t="shared" si="2"/>
        <v>45209</v>
      </c>
      <c r="F51" s="25" t="s">
        <v>256</v>
      </c>
      <c r="G51" s="27" t="s">
        <v>257</v>
      </c>
      <c r="H51" s="25" t="s">
        <v>18</v>
      </c>
      <c r="I51" s="25" t="s">
        <v>19</v>
      </c>
      <c r="J51" s="25" t="s">
        <v>258</v>
      </c>
      <c r="K51" s="2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17"/>
      <c r="B52" s="24" t="s">
        <v>262</v>
      </c>
      <c r="C52" s="25" t="s">
        <v>228</v>
      </c>
      <c r="D52" s="25" t="s">
        <v>263</v>
      </c>
      <c r="E52" s="26">
        <f t="shared" si="2"/>
        <v>45209</v>
      </c>
      <c r="F52" s="25" t="s">
        <v>264</v>
      </c>
      <c r="G52" s="27" t="s">
        <v>265</v>
      </c>
      <c r="H52" s="25" t="s">
        <v>18</v>
      </c>
      <c r="I52" s="25" t="s">
        <v>19</v>
      </c>
      <c r="J52" s="25" t="s">
        <v>266</v>
      </c>
      <c r="K52" s="2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23"/>
      <c r="B53" s="24" t="s">
        <v>267</v>
      </c>
      <c r="C53" s="25" t="s">
        <v>268</v>
      </c>
      <c r="D53" s="25" t="s">
        <v>269</v>
      </c>
      <c r="E53" s="26">
        <f t="shared" si="2"/>
        <v>45209</v>
      </c>
      <c r="F53" s="25" t="s">
        <v>270</v>
      </c>
      <c r="G53" s="27" t="s">
        <v>271</v>
      </c>
      <c r="H53" s="25" t="s">
        <v>18</v>
      </c>
      <c r="I53" s="25" t="s">
        <v>19</v>
      </c>
      <c r="J53" s="25" t="s">
        <v>272</v>
      </c>
      <c r="K53" s="28" t="s">
        <v>82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23"/>
      <c r="B54" s="24" t="s">
        <v>273</v>
      </c>
      <c r="C54" s="25" t="s">
        <v>274</v>
      </c>
      <c r="D54" s="25" t="s">
        <v>275</v>
      </c>
      <c r="E54" s="26">
        <f t="shared" si="2"/>
        <v>45209</v>
      </c>
      <c r="F54" s="25" t="s">
        <v>79</v>
      </c>
      <c r="G54" s="27" t="s">
        <v>276</v>
      </c>
      <c r="H54" s="25" t="s">
        <v>18</v>
      </c>
      <c r="I54" s="25" t="s">
        <v>19</v>
      </c>
      <c r="J54" s="25" t="s">
        <v>277</v>
      </c>
      <c r="K54" s="28" t="s">
        <v>82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23"/>
      <c r="B55" s="24" t="s">
        <v>278</v>
      </c>
      <c r="C55" s="25" t="s">
        <v>279</v>
      </c>
      <c r="D55" s="25" t="s">
        <v>280</v>
      </c>
      <c r="E55" s="26">
        <f t="shared" si="2"/>
        <v>45209</v>
      </c>
      <c r="F55" s="25" t="s">
        <v>105</v>
      </c>
      <c r="G55" s="27" t="s">
        <v>281</v>
      </c>
      <c r="H55" s="25" t="s">
        <v>18</v>
      </c>
      <c r="I55" s="25" t="s">
        <v>19</v>
      </c>
      <c r="J55" s="25" t="s">
        <v>282</v>
      </c>
      <c r="K55" s="2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23"/>
      <c r="B56" s="24" t="s">
        <v>283</v>
      </c>
      <c r="C56" s="25" t="s">
        <v>284</v>
      </c>
      <c r="D56" s="25" t="s">
        <v>285</v>
      </c>
      <c r="E56" s="26">
        <f t="shared" si="2"/>
        <v>45209</v>
      </c>
      <c r="F56" s="25" t="s">
        <v>45</v>
      </c>
      <c r="G56" s="27" t="s">
        <v>46</v>
      </c>
      <c r="H56" s="25" t="s">
        <v>18</v>
      </c>
      <c r="I56" s="25" t="s">
        <v>47</v>
      </c>
      <c r="J56" s="25" t="s">
        <v>48</v>
      </c>
      <c r="K56" s="2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23"/>
      <c r="B57" s="24" t="s">
        <v>286</v>
      </c>
      <c r="C57" s="25" t="s">
        <v>287</v>
      </c>
      <c r="D57" s="25" t="s">
        <v>288</v>
      </c>
      <c r="E57" s="26">
        <f t="shared" si="2"/>
        <v>45209</v>
      </c>
      <c r="F57" s="25" t="s">
        <v>166</v>
      </c>
      <c r="G57" s="27" t="s">
        <v>289</v>
      </c>
      <c r="H57" s="25" t="s">
        <v>18</v>
      </c>
      <c r="I57" s="25" t="s">
        <v>19</v>
      </c>
      <c r="J57" s="25" t="s">
        <v>290</v>
      </c>
      <c r="K57" s="2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23"/>
      <c r="B58" s="24" t="s">
        <v>291</v>
      </c>
      <c r="C58" s="25" t="s">
        <v>292</v>
      </c>
      <c r="D58" s="25" t="s">
        <v>293</v>
      </c>
      <c r="E58" s="26">
        <f t="shared" si="2"/>
        <v>45209</v>
      </c>
      <c r="F58" s="25" t="s">
        <v>294</v>
      </c>
      <c r="G58" s="27" t="s">
        <v>295</v>
      </c>
      <c r="H58" s="25" t="s">
        <v>18</v>
      </c>
      <c r="I58" s="25" t="s">
        <v>27</v>
      </c>
      <c r="J58" s="25" t="s">
        <v>296</v>
      </c>
      <c r="K58" s="2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29"/>
      <c r="B59" s="24" t="s">
        <v>297</v>
      </c>
      <c r="C59" s="25" t="s">
        <v>298</v>
      </c>
      <c r="D59" s="25" t="s">
        <v>299</v>
      </c>
      <c r="E59" s="26">
        <f t="shared" si="2"/>
        <v>45209</v>
      </c>
      <c r="F59" s="25" t="s">
        <v>300</v>
      </c>
      <c r="G59" s="27" t="s">
        <v>301</v>
      </c>
      <c r="H59" s="25" t="s">
        <v>18</v>
      </c>
      <c r="I59" s="25" t="s">
        <v>19</v>
      </c>
      <c r="J59" s="25" t="s">
        <v>302</v>
      </c>
      <c r="K59" s="2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30" t="s">
        <v>303</v>
      </c>
      <c r="B60" s="24" t="s">
        <v>304</v>
      </c>
      <c r="C60" s="25" t="s">
        <v>71</v>
      </c>
      <c r="D60" s="25" t="s">
        <v>305</v>
      </c>
      <c r="E60" s="26">
        <f t="shared" si="2"/>
        <v>45209</v>
      </c>
      <c r="F60" s="25" t="s">
        <v>32</v>
      </c>
      <c r="G60" s="27" t="s">
        <v>306</v>
      </c>
      <c r="H60" s="25" t="s">
        <v>18</v>
      </c>
      <c r="I60" s="25" t="s">
        <v>34</v>
      </c>
      <c r="J60" s="25" t="s">
        <v>307</v>
      </c>
      <c r="K60" s="2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32"/>
      <c r="B61" s="24" t="s">
        <v>308</v>
      </c>
      <c r="C61" s="25" t="s">
        <v>309</v>
      </c>
      <c r="D61" s="25" t="s">
        <v>310</v>
      </c>
      <c r="E61" s="26">
        <f t="shared" si="2"/>
        <v>45209</v>
      </c>
      <c r="F61" s="25" t="s">
        <v>32</v>
      </c>
      <c r="G61" s="27" t="s">
        <v>306</v>
      </c>
      <c r="H61" s="25" t="s">
        <v>18</v>
      </c>
      <c r="I61" s="25" t="s">
        <v>34</v>
      </c>
      <c r="J61" s="25" t="s">
        <v>307</v>
      </c>
      <c r="K61" s="2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17"/>
      <c r="B62" s="24" t="s">
        <v>311</v>
      </c>
      <c r="C62" s="25" t="s">
        <v>312</v>
      </c>
      <c r="D62" s="25" t="s">
        <v>313</v>
      </c>
      <c r="E62" s="26">
        <f t="shared" si="2"/>
        <v>45209</v>
      </c>
      <c r="F62" s="25" t="s">
        <v>314</v>
      </c>
      <c r="G62" s="27" t="s">
        <v>315</v>
      </c>
      <c r="H62" s="25" t="s">
        <v>18</v>
      </c>
      <c r="I62" s="25" t="s">
        <v>19</v>
      </c>
      <c r="J62" s="25" t="s">
        <v>316</v>
      </c>
      <c r="K62" s="28" t="s">
        <v>82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23"/>
      <c r="B63" s="24" t="s">
        <v>317</v>
      </c>
      <c r="C63" s="25" t="s">
        <v>318</v>
      </c>
      <c r="D63" s="25" t="s">
        <v>319</v>
      </c>
      <c r="E63" s="26">
        <f t="shared" si="2"/>
        <v>45209</v>
      </c>
      <c r="F63" s="25" t="s">
        <v>203</v>
      </c>
      <c r="G63" s="27" t="s">
        <v>320</v>
      </c>
      <c r="H63" s="25" t="s">
        <v>18</v>
      </c>
      <c r="I63" s="25" t="s">
        <v>34</v>
      </c>
      <c r="J63" s="25" t="s">
        <v>321</v>
      </c>
      <c r="K63" s="2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23"/>
      <c r="B64" s="24" t="s">
        <v>322</v>
      </c>
      <c r="C64" s="25" t="s">
        <v>323</v>
      </c>
      <c r="D64" s="25" t="s">
        <v>324</v>
      </c>
      <c r="E64" s="26">
        <f t="shared" si="2"/>
        <v>45209</v>
      </c>
      <c r="F64" s="25" t="s">
        <v>325</v>
      </c>
      <c r="G64" s="27" t="s">
        <v>326</v>
      </c>
      <c r="H64" s="25" t="s">
        <v>18</v>
      </c>
      <c r="I64" s="25" t="s">
        <v>19</v>
      </c>
      <c r="J64" s="25" t="s">
        <v>327</v>
      </c>
      <c r="K64" s="2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23"/>
      <c r="B65" s="24" t="s">
        <v>328</v>
      </c>
      <c r="C65" s="25" t="s">
        <v>329</v>
      </c>
      <c r="D65" s="25" t="s">
        <v>330</v>
      </c>
      <c r="E65" s="26">
        <f t="shared" si="2"/>
        <v>45209</v>
      </c>
      <c r="F65" s="25" t="s">
        <v>331</v>
      </c>
      <c r="G65" s="27" t="s">
        <v>332</v>
      </c>
      <c r="H65" s="25" t="s">
        <v>18</v>
      </c>
      <c r="I65" s="25" t="s">
        <v>19</v>
      </c>
      <c r="J65" s="25" t="s">
        <v>333</v>
      </c>
      <c r="K65" s="2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29"/>
      <c r="B66" s="24" t="s">
        <v>334</v>
      </c>
      <c r="C66" s="25" t="s">
        <v>335</v>
      </c>
      <c r="D66" s="25" t="s">
        <v>336</v>
      </c>
      <c r="E66" s="26">
        <f t="shared" si="2"/>
        <v>45209</v>
      </c>
      <c r="F66" s="25" t="s">
        <v>25</v>
      </c>
      <c r="G66" s="27" t="s">
        <v>337</v>
      </c>
      <c r="H66" s="25" t="s">
        <v>18</v>
      </c>
      <c r="I66" s="25" t="s">
        <v>27</v>
      </c>
      <c r="J66" s="25" t="s">
        <v>338</v>
      </c>
      <c r="K66" s="2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30" t="s">
        <v>339</v>
      </c>
      <c r="B67" s="24" t="s">
        <v>340</v>
      </c>
      <c r="C67" s="25" t="s">
        <v>323</v>
      </c>
      <c r="D67" s="25" t="s">
        <v>341</v>
      </c>
      <c r="E67" s="26">
        <f t="shared" si="2"/>
        <v>45209</v>
      </c>
      <c r="F67" s="25" t="s">
        <v>256</v>
      </c>
      <c r="G67" s="27" t="s">
        <v>342</v>
      </c>
      <c r="H67" s="25" t="s">
        <v>18</v>
      </c>
      <c r="I67" s="25" t="s">
        <v>19</v>
      </c>
      <c r="J67" s="25" t="s">
        <v>343</v>
      </c>
      <c r="K67" s="2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32"/>
      <c r="B68" s="40" t="s">
        <v>344</v>
      </c>
      <c r="C68" s="41" t="s">
        <v>345</v>
      </c>
      <c r="D68" s="41" t="s">
        <v>346</v>
      </c>
      <c r="E68" s="42">
        <f t="shared" si="2"/>
        <v>45209</v>
      </c>
      <c r="F68" s="41" t="s">
        <v>256</v>
      </c>
      <c r="G68" s="43" t="s">
        <v>342</v>
      </c>
      <c r="H68" s="41" t="s">
        <v>18</v>
      </c>
      <c r="I68" s="41" t="s">
        <v>19</v>
      </c>
      <c r="J68" s="41" t="s">
        <v>343</v>
      </c>
      <c r="K68" s="44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A34:A35"/>
    <mergeCell ref="A41:A42"/>
    <mergeCell ref="A43:A45"/>
    <mergeCell ref="A48:A49"/>
    <mergeCell ref="A50:A51"/>
    <mergeCell ref="A60:A61"/>
    <mergeCell ref="A67:A68"/>
    <mergeCell ref="A2:K2"/>
    <mergeCell ref="A4:K4"/>
    <mergeCell ref="A10:A12"/>
    <mergeCell ref="A15:K15"/>
    <mergeCell ref="A19:A20"/>
    <mergeCell ref="A21:A22"/>
    <mergeCell ref="A27:A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1.38"/>
    <col customWidth="1" min="3" max="3" width="23.75"/>
    <col customWidth="1" min="4" max="4" width="16.25"/>
    <col customWidth="1" min="5" max="5" width="38.13"/>
    <col customWidth="1" min="6" max="6" width="19.75"/>
    <col customWidth="1" min="7" max="7" width="16.38"/>
    <col customWidth="1" min="8" max="8" width="48.88"/>
    <col customWidth="1" min="9" max="9" width="22.25"/>
    <col customWidth="1" min="10" max="10" width="15.13"/>
    <col customWidth="1" min="11" max="11" width="41.0"/>
    <col customWidth="1" min="12" max="26" width="8.63"/>
  </cols>
  <sheetData>
    <row r="1" ht="12.75" customHeight="1">
      <c r="A1" s="45" t="s">
        <v>1</v>
      </c>
      <c r="B1" s="45" t="s">
        <v>2</v>
      </c>
      <c r="C1" s="45" t="s">
        <v>3</v>
      </c>
      <c r="D1" s="46" t="s">
        <v>347</v>
      </c>
      <c r="E1" s="45" t="s">
        <v>5</v>
      </c>
      <c r="F1" s="47" t="s">
        <v>348</v>
      </c>
      <c r="G1" s="46" t="s">
        <v>349</v>
      </c>
      <c r="H1" s="45" t="s">
        <v>7</v>
      </c>
      <c r="I1" s="45" t="s">
        <v>8</v>
      </c>
      <c r="J1" s="45" t="s">
        <v>9</v>
      </c>
      <c r="K1" s="4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7" t="s">
        <v>350</v>
      </c>
      <c r="B2" s="8"/>
      <c r="C2" s="8"/>
      <c r="D2" s="8"/>
      <c r="E2" s="8"/>
      <c r="F2" s="8"/>
      <c r="G2" s="8"/>
      <c r="H2" s="8"/>
      <c r="I2" s="8"/>
      <c r="J2" s="8"/>
      <c r="K2" s="9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48" t="s">
        <v>152</v>
      </c>
      <c r="B3" s="49" t="s">
        <v>153</v>
      </c>
      <c r="C3" s="49" t="s">
        <v>154</v>
      </c>
      <c r="D3" s="50">
        <f t="shared" ref="D3:D64" si="1">DATE(2023,10,12)</f>
        <v>45211</v>
      </c>
      <c r="E3" s="51" t="s">
        <v>18</v>
      </c>
      <c r="F3" s="52" t="s">
        <v>351</v>
      </c>
      <c r="G3" s="53" t="s">
        <v>352</v>
      </c>
      <c r="H3" s="49" t="s">
        <v>155</v>
      </c>
      <c r="I3" s="49" t="s">
        <v>19</v>
      </c>
      <c r="J3" s="49" t="s">
        <v>353</v>
      </c>
      <c r="K3" s="54" t="s">
        <v>82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55" t="s">
        <v>267</v>
      </c>
      <c r="B4" s="25" t="s">
        <v>268</v>
      </c>
      <c r="C4" s="25" t="s">
        <v>269</v>
      </c>
      <c r="D4" s="26">
        <f t="shared" si="1"/>
        <v>45211</v>
      </c>
      <c r="E4" s="56" t="s">
        <v>18</v>
      </c>
      <c r="F4" s="32"/>
      <c r="G4" s="57" t="s">
        <v>354</v>
      </c>
      <c r="H4" s="25" t="s">
        <v>270</v>
      </c>
      <c r="I4" s="25" t="s">
        <v>27</v>
      </c>
      <c r="J4" s="25" t="s">
        <v>355</v>
      </c>
      <c r="K4" s="28" t="s">
        <v>151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55" t="s">
        <v>245</v>
      </c>
      <c r="B5" s="25" t="s">
        <v>246</v>
      </c>
      <c r="C5" s="25" t="s">
        <v>247</v>
      </c>
      <c r="D5" s="26">
        <f t="shared" si="1"/>
        <v>45211</v>
      </c>
      <c r="E5" s="56" t="s">
        <v>18</v>
      </c>
      <c r="F5" s="52" t="s">
        <v>356</v>
      </c>
      <c r="G5" s="57" t="s">
        <v>357</v>
      </c>
      <c r="H5" s="25" t="s">
        <v>166</v>
      </c>
      <c r="I5" s="25" t="s">
        <v>358</v>
      </c>
      <c r="J5" s="25" t="s">
        <v>359</v>
      </c>
      <c r="K5" s="28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55" t="s">
        <v>245</v>
      </c>
      <c r="B6" s="25" t="s">
        <v>246</v>
      </c>
      <c r="C6" s="25" t="s">
        <v>247</v>
      </c>
      <c r="D6" s="26">
        <f t="shared" si="1"/>
        <v>45211</v>
      </c>
      <c r="E6" s="56" t="s">
        <v>18</v>
      </c>
      <c r="F6" s="31"/>
      <c r="G6" s="57" t="s">
        <v>357</v>
      </c>
      <c r="H6" s="25" t="s">
        <v>166</v>
      </c>
      <c r="I6" s="25" t="s">
        <v>19</v>
      </c>
      <c r="J6" s="25" t="s">
        <v>360</v>
      </c>
      <c r="K6" s="28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55" t="s">
        <v>278</v>
      </c>
      <c r="B7" s="25" t="s">
        <v>279</v>
      </c>
      <c r="C7" s="25" t="s">
        <v>280</v>
      </c>
      <c r="D7" s="26">
        <f t="shared" si="1"/>
        <v>45211</v>
      </c>
      <c r="E7" s="56" t="s">
        <v>18</v>
      </c>
      <c r="F7" s="32"/>
      <c r="G7" s="57" t="s">
        <v>361</v>
      </c>
      <c r="H7" s="25" t="s">
        <v>105</v>
      </c>
      <c r="I7" s="25" t="s">
        <v>19</v>
      </c>
      <c r="J7" s="25" t="s">
        <v>362</v>
      </c>
      <c r="K7" s="2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55" t="s">
        <v>297</v>
      </c>
      <c r="B8" s="25" t="s">
        <v>298</v>
      </c>
      <c r="C8" s="25" t="s">
        <v>299</v>
      </c>
      <c r="D8" s="26">
        <f t="shared" si="1"/>
        <v>45211</v>
      </c>
      <c r="E8" s="56" t="s">
        <v>18</v>
      </c>
      <c r="F8" s="52" t="s">
        <v>363</v>
      </c>
      <c r="G8" s="57" t="s">
        <v>364</v>
      </c>
      <c r="H8" s="25" t="s">
        <v>300</v>
      </c>
      <c r="I8" s="25" t="s">
        <v>19</v>
      </c>
      <c r="J8" s="25" t="s">
        <v>365</v>
      </c>
      <c r="K8" s="2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55" t="s">
        <v>262</v>
      </c>
      <c r="B9" s="25" t="s">
        <v>228</v>
      </c>
      <c r="C9" s="25" t="s">
        <v>263</v>
      </c>
      <c r="D9" s="26">
        <f t="shared" si="1"/>
        <v>45211</v>
      </c>
      <c r="E9" s="56" t="s">
        <v>18</v>
      </c>
      <c r="F9" s="52" t="s">
        <v>366</v>
      </c>
      <c r="G9" s="57" t="s">
        <v>367</v>
      </c>
      <c r="H9" s="25" t="s">
        <v>264</v>
      </c>
      <c r="I9" s="25" t="s">
        <v>19</v>
      </c>
      <c r="J9" s="25" t="s">
        <v>368</v>
      </c>
      <c r="K9" s="2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55" t="s">
        <v>49</v>
      </c>
      <c r="B10" s="25" t="s">
        <v>50</v>
      </c>
      <c r="C10" s="25" t="s">
        <v>51</v>
      </c>
      <c r="D10" s="26">
        <f t="shared" si="1"/>
        <v>45211</v>
      </c>
      <c r="E10" s="56" t="s">
        <v>18</v>
      </c>
      <c r="F10" s="31"/>
      <c r="G10" s="57" t="s">
        <v>367</v>
      </c>
      <c r="H10" s="25" t="s">
        <v>264</v>
      </c>
      <c r="I10" s="25" t="s">
        <v>19</v>
      </c>
      <c r="J10" s="25" t="s">
        <v>368</v>
      </c>
      <c r="K10" s="2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55" t="s">
        <v>136</v>
      </c>
      <c r="B11" s="25" t="s">
        <v>137</v>
      </c>
      <c r="C11" s="25" t="s">
        <v>138</v>
      </c>
      <c r="D11" s="26">
        <f t="shared" si="1"/>
        <v>45211</v>
      </c>
      <c r="E11" s="56" t="s">
        <v>18</v>
      </c>
      <c r="F11" s="31"/>
      <c r="G11" s="57" t="s">
        <v>369</v>
      </c>
      <c r="H11" s="25" t="s">
        <v>139</v>
      </c>
      <c r="I11" s="25" t="s">
        <v>19</v>
      </c>
      <c r="J11" s="25" t="s">
        <v>370</v>
      </c>
      <c r="K11" s="2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55" t="s">
        <v>142</v>
      </c>
      <c r="B12" s="25" t="s">
        <v>143</v>
      </c>
      <c r="C12" s="25" t="s">
        <v>144</v>
      </c>
      <c r="D12" s="26">
        <f t="shared" si="1"/>
        <v>45211</v>
      </c>
      <c r="E12" s="56" t="s">
        <v>18</v>
      </c>
      <c r="F12" s="31"/>
      <c r="G12" s="57" t="s">
        <v>369</v>
      </c>
      <c r="H12" s="25" t="s">
        <v>139</v>
      </c>
      <c r="I12" s="25" t="s">
        <v>19</v>
      </c>
      <c r="J12" s="25" t="s">
        <v>370</v>
      </c>
      <c r="K12" s="2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55" t="s">
        <v>145</v>
      </c>
      <c r="B13" s="25" t="s">
        <v>146</v>
      </c>
      <c r="C13" s="25" t="s">
        <v>147</v>
      </c>
      <c r="D13" s="26">
        <f t="shared" si="1"/>
        <v>45211</v>
      </c>
      <c r="E13" s="56" t="s">
        <v>18</v>
      </c>
      <c r="F13" s="31"/>
      <c r="G13" s="57" t="s">
        <v>265</v>
      </c>
      <c r="H13" s="25" t="s">
        <v>148</v>
      </c>
      <c r="I13" s="25" t="s">
        <v>19</v>
      </c>
      <c r="J13" s="25" t="s">
        <v>371</v>
      </c>
      <c r="K13" s="2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55" t="s">
        <v>70</v>
      </c>
      <c r="B14" s="25" t="s">
        <v>71</v>
      </c>
      <c r="C14" s="25" t="s">
        <v>72</v>
      </c>
      <c r="D14" s="26">
        <f t="shared" si="1"/>
        <v>45211</v>
      </c>
      <c r="E14" s="56" t="s">
        <v>18</v>
      </c>
      <c r="F14" s="31"/>
      <c r="G14" s="57" t="s">
        <v>372</v>
      </c>
      <c r="H14" s="25" t="s">
        <v>39</v>
      </c>
      <c r="I14" s="25" t="s">
        <v>19</v>
      </c>
      <c r="J14" s="25" t="s">
        <v>373</v>
      </c>
      <c r="K14" s="2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55" t="s">
        <v>36</v>
      </c>
      <c r="B15" s="25" t="s">
        <v>37</v>
      </c>
      <c r="C15" s="25" t="s">
        <v>38</v>
      </c>
      <c r="D15" s="26">
        <f t="shared" si="1"/>
        <v>45211</v>
      </c>
      <c r="E15" s="56" t="s">
        <v>18</v>
      </c>
      <c r="F15" s="31"/>
      <c r="G15" s="57" t="s">
        <v>372</v>
      </c>
      <c r="H15" s="25" t="s">
        <v>39</v>
      </c>
      <c r="I15" s="25" t="s">
        <v>19</v>
      </c>
      <c r="J15" s="25" t="s">
        <v>373</v>
      </c>
      <c r="K15" s="2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55" t="s">
        <v>175</v>
      </c>
      <c r="B16" s="25" t="s">
        <v>176</v>
      </c>
      <c r="C16" s="25" t="s">
        <v>177</v>
      </c>
      <c r="D16" s="26">
        <f t="shared" si="1"/>
        <v>45211</v>
      </c>
      <c r="E16" s="56" t="s">
        <v>18</v>
      </c>
      <c r="F16" s="31"/>
      <c r="G16" s="57" t="s">
        <v>374</v>
      </c>
      <c r="H16" s="25" t="s">
        <v>178</v>
      </c>
      <c r="I16" s="25" t="s">
        <v>19</v>
      </c>
      <c r="J16" s="25" t="s">
        <v>375</v>
      </c>
      <c r="K16" s="2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55" t="s">
        <v>376</v>
      </c>
      <c r="B17" s="25" t="s">
        <v>377</v>
      </c>
      <c r="C17" s="25" t="s">
        <v>378</v>
      </c>
      <c r="D17" s="26">
        <f t="shared" si="1"/>
        <v>45211</v>
      </c>
      <c r="E17" s="56" t="s">
        <v>18</v>
      </c>
      <c r="F17" s="31"/>
      <c r="G17" s="57" t="s">
        <v>374</v>
      </c>
      <c r="H17" s="25" t="s">
        <v>178</v>
      </c>
      <c r="I17" s="25" t="s">
        <v>19</v>
      </c>
      <c r="J17" s="25" t="s">
        <v>375</v>
      </c>
      <c r="K17" s="2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55" t="s">
        <v>181</v>
      </c>
      <c r="B18" s="25" t="s">
        <v>182</v>
      </c>
      <c r="C18" s="25" t="s">
        <v>183</v>
      </c>
      <c r="D18" s="26">
        <f t="shared" si="1"/>
        <v>45211</v>
      </c>
      <c r="E18" s="56" t="s">
        <v>18</v>
      </c>
      <c r="F18" s="31"/>
      <c r="G18" s="57" t="s">
        <v>374</v>
      </c>
      <c r="H18" s="25" t="s">
        <v>178</v>
      </c>
      <c r="I18" s="25" t="s">
        <v>19</v>
      </c>
      <c r="J18" s="25" t="s">
        <v>375</v>
      </c>
      <c r="K18" s="2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55" t="s">
        <v>213</v>
      </c>
      <c r="B19" s="25" t="s">
        <v>214</v>
      </c>
      <c r="C19" s="25" t="s">
        <v>215</v>
      </c>
      <c r="D19" s="26">
        <f t="shared" si="1"/>
        <v>45211</v>
      </c>
      <c r="E19" s="56" t="s">
        <v>18</v>
      </c>
      <c r="F19" s="31"/>
      <c r="G19" s="57" t="s">
        <v>379</v>
      </c>
      <c r="H19" s="25" t="s">
        <v>25</v>
      </c>
      <c r="I19" s="25" t="s">
        <v>27</v>
      </c>
      <c r="J19" s="25" t="s">
        <v>217</v>
      </c>
      <c r="K19" s="2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55" t="s">
        <v>22</v>
      </c>
      <c r="B20" s="25" t="s">
        <v>23</v>
      </c>
      <c r="C20" s="25" t="s">
        <v>24</v>
      </c>
      <c r="D20" s="26">
        <f t="shared" si="1"/>
        <v>45211</v>
      </c>
      <c r="E20" s="56" t="s">
        <v>18</v>
      </c>
      <c r="F20" s="31"/>
      <c r="G20" s="57" t="s">
        <v>379</v>
      </c>
      <c r="H20" s="25" t="s">
        <v>25</v>
      </c>
      <c r="I20" s="25" t="s">
        <v>27</v>
      </c>
      <c r="J20" s="25" t="s">
        <v>217</v>
      </c>
      <c r="K20" s="2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55" t="s">
        <v>334</v>
      </c>
      <c r="B21" s="25" t="s">
        <v>335</v>
      </c>
      <c r="C21" s="25" t="s">
        <v>336</v>
      </c>
      <c r="D21" s="26">
        <f t="shared" si="1"/>
        <v>45211</v>
      </c>
      <c r="E21" s="56" t="s">
        <v>18</v>
      </c>
      <c r="F21" s="31"/>
      <c r="G21" s="57" t="s">
        <v>379</v>
      </c>
      <c r="H21" s="25" t="s">
        <v>25</v>
      </c>
      <c r="I21" s="25" t="s">
        <v>27</v>
      </c>
      <c r="J21" s="25" t="s">
        <v>217</v>
      </c>
      <c r="K21" s="2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55" t="s">
        <v>227</v>
      </c>
      <c r="B22" s="25" t="s">
        <v>228</v>
      </c>
      <c r="C22" s="25" t="s">
        <v>229</v>
      </c>
      <c r="D22" s="26">
        <f t="shared" si="1"/>
        <v>45211</v>
      </c>
      <c r="E22" s="56" t="s">
        <v>18</v>
      </c>
      <c r="F22" s="31"/>
      <c r="G22" s="57" t="s">
        <v>379</v>
      </c>
      <c r="H22" s="25" t="s">
        <v>25</v>
      </c>
      <c r="I22" s="25" t="s">
        <v>27</v>
      </c>
      <c r="J22" s="25" t="s">
        <v>217</v>
      </c>
      <c r="K22" s="2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55" t="s">
        <v>218</v>
      </c>
      <c r="B23" s="25" t="s">
        <v>219</v>
      </c>
      <c r="C23" s="25" t="s">
        <v>220</v>
      </c>
      <c r="D23" s="26">
        <f t="shared" si="1"/>
        <v>45211</v>
      </c>
      <c r="E23" s="56" t="s">
        <v>18</v>
      </c>
      <c r="F23" s="31"/>
      <c r="G23" s="57" t="s">
        <v>379</v>
      </c>
      <c r="H23" s="25" t="s">
        <v>25</v>
      </c>
      <c r="I23" s="25" t="s">
        <v>27</v>
      </c>
      <c r="J23" s="25" t="s">
        <v>217</v>
      </c>
      <c r="K23" s="2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55" t="s">
        <v>163</v>
      </c>
      <c r="B24" s="25" t="s">
        <v>164</v>
      </c>
      <c r="C24" s="25" t="s">
        <v>165</v>
      </c>
      <c r="D24" s="26">
        <f t="shared" si="1"/>
        <v>45211</v>
      </c>
      <c r="E24" s="56" t="s">
        <v>18</v>
      </c>
      <c r="F24" s="31"/>
      <c r="G24" s="57" t="s">
        <v>380</v>
      </c>
      <c r="H24" s="25" t="s">
        <v>166</v>
      </c>
      <c r="I24" s="25" t="s">
        <v>19</v>
      </c>
      <c r="J24" s="25" t="s">
        <v>381</v>
      </c>
      <c r="K24" s="2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55" t="s">
        <v>196</v>
      </c>
      <c r="B25" s="25" t="s">
        <v>30</v>
      </c>
      <c r="C25" s="25" t="s">
        <v>197</v>
      </c>
      <c r="D25" s="26">
        <f t="shared" si="1"/>
        <v>45211</v>
      </c>
      <c r="E25" s="56" t="s">
        <v>18</v>
      </c>
      <c r="F25" s="31"/>
      <c r="G25" s="57" t="s">
        <v>380</v>
      </c>
      <c r="H25" s="25" t="s">
        <v>166</v>
      </c>
      <c r="I25" s="25" t="s">
        <v>19</v>
      </c>
      <c r="J25" s="25" t="s">
        <v>381</v>
      </c>
      <c r="K25" s="2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55" t="s">
        <v>259</v>
      </c>
      <c r="B26" s="25" t="s">
        <v>260</v>
      </c>
      <c r="C26" s="25" t="s">
        <v>261</v>
      </c>
      <c r="D26" s="26">
        <f t="shared" si="1"/>
        <v>45211</v>
      </c>
      <c r="E26" s="56" t="s">
        <v>18</v>
      </c>
      <c r="F26" s="31"/>
      <c r="G26" s="57" t="s">
        <v>380</v>
      </c>
      <c r="H26" s="25" t="s">
        <v>166</v>
      </c>
      <c r="I26" s="25" t="s">
        <v>19</v>
      </c>
      <c r="J26" s="25" t="s">
        <v>381</v>
      </c>
      <c r="K26" s="2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55" t="s">
        <v>246</v>
      </c>
      <c r="B27" s="25" t="s">
        <v>250</v>
      </c>
      <c r="C27" s="25" t="s">
        <v>251</v>
      </c>
      <c r="D27" s="26">
        <f t="shared" si="1"/>
        <v>45211</v>
      </c>
      <c r="E27" s="56" t="s">
        <v>18</v>
      </c>
      <c r="F27" s="31"/>
      <c r="G27" s="57" t="s">
        <v>380</v>
      </c>
      <c r="H27" s="25" t="s">
        <v>166</v>
      </c>
      <c r="I27" s="25" t="s">
        <v>19</v>
      </c>
      <c r="J27" s="25" t="s">
        <v>381</v>
      </c>
      <c r="K27" s="2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55" t="s">
        <v>286</v>
      </c>
      <c r="B28" s="25" t="s">
        <v>287</v>
      </c>
      <c r="C28" s="25" t="s">
        <v>288</v>
      </c>
      <c r="D28" s="26">
        <f t="shared" si="1"/>
        <v>45211</v>
      </c>
      <c r="E28" s="56" t="s">
        <v>18</v>
      </c>
      <c r="F28" s="31"/>
      <c r="G28" s="57" t="s">
        <v>380</v>
      </c>
      <c r="H28" s="25" t="s">
        <v>166</v>
      </c>
      <c r="I28" s="25" t="s">
        <v>19</v>
      </c>
      <c r="J28" s="25" t="s">
        <v>381</v>
      </c>
      <c r="K28" s="2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55" t="s">
        <v>89</v>
      </c>
      <c r="B29" s="25" t="s">
        <v>90</v>
      </c>
      <c r="C29" s="25" t="s">
        <v>91</v>
      </c>
      <c r="D29" s="26">
        <f t="shared" si="1"/>
        <v>45211</v>
      </c>
      <c r="E29" s="56" t="s">
        <v>18</v>
      </c>
      <c r="F29" s="31"/>
      <c r="G29" s="57" t="s">
        <v>271</v>
      </c>
      <c r="H29" s="25" t="s">
        <v>92</v>
      </c>
      <c r="I29" s="25" t="s">
        <v>19</v>
      </c>
      <c r="J29" s="25" t="s">
        <v>382</v>
      </c>
      <c r="K29" s="2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55" t="s">
        <v>222</v>
      </c>
      <c r="B30" s="25" t="s">
        <v>223</v>
      </c>
      <c r="C30" s="25" t="s">
        <v>224</v>
      </c>
      <c r="D30" s="26">
        <f t="shared" si="1"/>
        <v>45211</v>
      </c>
      <c r="E30" s="56" t="s">
        <v>18</v>
      </c>
      <c r="F30" s="31"/>
      <c r="G30" s="57" t="s">
        <v>276</v>
      </c>
      <c r="H30" s="25" t="s">
        <v>126</v>
      </c>
      <c r="I30" s="25" t="s">
        <v>27</v>
      </c>
      <c r="J30" s="25" t="s">
        <v>226</v>
      </c>
      <c r="K30" s="2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55" t="s">
        <v>123</v>
      </c>
      <c r="B31" s="25" t="s">
        <v>124</v>
      </c>
      <c r="C31" s="25" t="s">
        <v>125</v>
      </c>
      <c r="D31" s="26">
        <f t="shared" si="1"/>
        <v>45211</v>
      </c>
      <c r="E31" s="56" t="s">
        <v>18</v>
      </c>
      <c r="F31" s="31"/>
      <c r="G31" s="57" t="s">
        <v>276</v>
      </c>
      <c r="H31" s="25" t="s">
        <v>126</v>
      </c>
      <c r="I31" s="25" t="s">
        <v>27</v>
      </c>
      <c r="J31" s="25" t="s">
        <v>226</v>
      </c>
      <c r="K31" s="2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55" t="s">
        <v>230</v>
      </c>
      <c r="B32" s="25" t="s">
        <v>231</v>
      </c>
      <c r="C32" s="25" t="s">
        <v>232</v>
      </c>
      <c r="D32" s="26">
        <f t="shared" si="1"/>
        <v>45211</v>
      </c>
      <c r="E32" s="56" t="s">
        <v>18</v>
      </c>
      <c r="F32" s="31"/>
      <c r="G32" s="57" t="s">
        <v>276</v>
      </c>
      <c r="H32" s="25" t="s">
        <v>126</v>
      </c>
      <c r="I32" s="25" t="s">
        <v>27</v>
      </c>
      <c r="J32" s="25" t="s">
        <v>226</v>
      </c>
      <c r="K32" s="2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55" t="s">
        <v>55</v>
      </c>
      <c r="B33" s="25" t="s">
        <v>56</v>
      </c>
      <c r="C33" s="25" t="s">
        <v>57</v>
      </c>
      <c r="D33" s="26">
        <f t="shared" si="1"/>
        <v>45211</v>
      </c>
      <c r="E33" s="56" t="s">
        <v>18</v>
      </c>
      <c r="F33" s="31"/>
      <c r="G33" s="57" t="s">
        <v>383</v>
      </c>
      <c r="H33" s="25" t="s">
        <v>58</v>
      </c>
      <c r="I33" s="25" t="s">
        <v>34</v>
      </c>
      <c r="J33" s="25" t="s">
        <v>384</v>
      </c>
      <c r="K33" s="2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55" t="s">
        <v>61</v>
      </c>
      <c r="B34" s="25" t="s">
        <v>62</v>
      </c>
      <c r="C34" s="25" t="s">
        <v>63</v>
      </c>
      <c r="D34" s="26">
        <f t="shared" si="1"/>
        <v>45211</v>
      </c>
      <c r="E34" s="56" t="s">
        <v>18</v>
      </c>
      <c r="F34" s="31"/>
      <c r="G34" s="57" t="s">
        <v>383</v>
      </c>
      <c r="H34" s="25" t="s">
        <v>58</v>
      </c>
      <c r="I34" s="25" t="s">
        <v>34</v>
      </c>
      <c r="J34" s="25" t="s">
        <v>384</v>
      </c>
      <c r="K34" s="2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55" t="s">
        <v>239</v>
      </c>
      <c r="B35" s="25" t="s">
        <v>240</v>
      </c>
      <c r="C35" s="25" t="s">
        <v>241</v>
      </c>
      <c r="D35" s="26">
        <f t="shared" si="1"/>
        <v>45211</v>
      </c>
      <c r="E35" s="56" t="s">
        <v>18</v>
      </c>
      <c r="F35" s="32"/>
      <c r="G35" s="57" t="s">
        <v>383</v>
      </c>
      <c r="H35" s="25" t="s">
        <v>58</v>
      </c>
      <c r="I35" s="25" t="s">
        <v>34</v>
      </c>
      <c r="J35" s="25" t="s">
        <v>384</v>
      </c>
      <c r="K35" s="2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55" t="s">
        <v>64</v>
      </c>
      <c r="B36" s="25" t="s">
        <v>65</v>
      </c>
      <c r="C36" s="25" t="s">
        <v>385</v>
      </c>
      <c r="D36" s="26">
        <f t="shared" si="1"/>
        <v>45211</v>
      </c>
      <c r="E36" s="56" t="s">
        <v>18</v>
      </c>
      <c r="F36" s="52" t="s">
        <v>366</v>
      </c>
      <c r="G36" s="57" t="s">
        <v>383</v>
      </c>
      <c r="H36" s="25" t="s">
        <v>58</v>
      </c>
      <c r="I36" s="25" t="s">
        <v>34</v>
      </c>
      <c r="J36" s="25" t="s">
        <v>384</v>
      </c>
      <c r="K36" s="2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55" t="s">
        <v>200</v>
      </c>
      <c r="B37" s="25" t="s">
        <v>201</v>
      </c>
      <c r="C37" s="25" t="s">
        <v>202</v>
      </c>
      <c r="D37" s="26">
        <f t="shared" si="1"/>
        <v>45211</v>
      </c>
      <c r="E37" s="56" t="s">
        <v>18</v>
      </c>
      <c r="F37" s="31"/>
      <c r="G37" s="57" t="s">
        <v>386</v>
      </c>
      <c r="H37" s="25" t="s">
        <v>203</v>
      </c>
      <c r="I37" s="25" t="s">
        <v>34</v>
      </c>
      <c r="J37" s="25" t="s">
        <v>387</v>
      </c>
      <c r="K37" s="2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55" t="s">
        <v>317</v>
      </c>
      <c r="B38" s="25" t="s">
        <v>318</v>
      </c>
      <c r="C38" s="25" t="s">
        <v>319</v>
      </c>
      <c r="D38" s="26">
        <f t="shared" si="1"/>
        <v>45211</v>
      </c>
      <c r="E38" s="56" t="s">
        <v>18</v>
      </c>
      <c r="F38" s="31"/>
      <c r="G38" s="57" t="s">
        <v>386</v>
      </c>
      <c r="H38" s="25" t="s">
        <v>203</v>
      </c>
      <c r="I38" s="25" t="s">
        <v>34</v>
      </c>
      <c r="J38" s="25" t="s">
        <v>387</v>
      </c>
      <c r="K38" s="2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55" t="s">
        <v>253</v>
      </c>
      <c r="B39" s="25" t="s">
        <v>254</v>
      </c>
      <c r="C39" s="25" t="s">
        <v>255</v>
      </c>
      <c r="D39" s="26">
        <f t="shared" si="1"/>
        <v>45211</v>
      </c>
      <c r="E39" s="56" t="s">
        <v>18</v>
      </c>
      <c r="F39" s="31"/>
      <c r="G39" s="57" t="s">
        <v>386</v>
      </c>
      <c r="H39" s="25" t="s">
        <v>203</v>
      </c>
      <c r="I39" s="25" t="s">
        <v>34</v>
      </c>
      <c r="J39" s="25" t="s">
        <v>387</v>
      </c>
      <c r="K39" s="2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55" t="s">
        <v>190</v>
      </c>
      <c r="B40" s="25" t="s">
        <v>191</v>
      </c>
      <c r="C40" s="25" t="s">
        <v>192</v>
      </c>
      <c r="D40" s="26">
        <f t="shared" si="1"/>
        <v>45211</v>
      </c>
      <c r="E40" s="56" t="s">
        <v>18</v>
      </c>
      <c r="F40" s="31"/>
      <c r="G40" s="57" t="s">
        <v>388</v>
      </c>
      <c r="H40" s="25" t="s">
        <v>193</v>
      </c>
      <c r="I40" s="25" t="s">
        <v>19</v>
      </c>
      <c r="J40" s="25" t="s">
        <v>389</v>
      </c>
      <c r="K40" s="2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55" t="s">
        <v>340</v>
      </c>
      <c r="B41" s="25" t="s">
        <v>323</v>
      </c>
      <c r="C41" s="25" t="s">
        <v>341</v>
      </c>
      <c r="D41" s="26">
        <f t="shared" si="1"/>
        <v>45211</v>
      </c>
      <c r="E41" s="56" t="s">
        <v>18</v>
      </c>
      <c r="F41" s="31"/>
      <c r="G41" s="57" t="s">
        <v>390</v>
      </c>
      <c r="H41" s="25" t="s">
        <v>256</v>
      </c>
      <c r="I41" s="25" t="s">
        <v>19</v>
      </c>
      <c r="J41" s="25" t="s">
        <v>391</v>
      </c>
      <c r="K41" s="28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55" t="s">
        <v>344</v>
      </c>
      <c r="B42" s="25" t="s">
        <v>345</v>
      </c>
      <c r="C42" s="25" t="s">
        <v>346</v>
      </c>
      <c r="D42" s="26">
        <f t="shared" si="1"/>
        <v>45211</v>
      </c>
      <c r="E42" s="56" t="s">
        <v>18</v>
      </c>
      <c r="F42" s="31"/>
      <c r="G42" s="57" t="s">
        <v>390</v>
      </c>
      <c r="H42" s="25" t="s">
        <v>256</v>
      </c>
      <c r="I42" s="25" t="s">
        <v>19</v>
      </c>
      <c r="J42" s="25" t="s">
        <v>391</v>
      </c>
      <c r="K42" s="2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55" t="s">
        <v>311</v>
      </c>
      <c r="B43" s="25" t="s">
        <v>312</v>
      </c>
      <c r="C43" s="25" t="s">
        <v>313</v>
      </c>
      <c r="D43" s="26">
        <f t="shared" si="1"/>
        <v>45211</v>
      </c>
      <c r="E43" s="56" t="s">
        <v>18</v>
      </c>
      <c r="F43" s="31"/>
      <c r="G43" s="57" t="s">
        <v>392</v>
      </c>
      <c r="H43" s="25" t="s">
        <v>314</v>
      </c>
      <c r="I43" s="25" t="s">
        <v>19</v>
      </c>
      <c r="J43" s="25" t="s">
        <v>393</v>
      </c>
      <c r="K43" s="28" t="s">
        <v>82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55" t="s">
        <v>206</v>
      </c>
      <c r="B44" s="25" t="s">
        <v>207</v>
      </c>
      <c r="C44" s="25" t="s">
        <v>208</v>
      </c>
      <c r="D44" s="26">
        <f t="shared" si="1"/>
        <v>45211</v>
      </c>
      <c r="E44" s="56" t="s">
        <v>18</v>
      </c>
      <c r="F44" s="31"/>
      <c r="G44" s="57" t="s">
        <v>394</v>
      </c>
      <c r="H44" s="25" t="s">
        <v>209</v>
      </c>
      <c r="I44" s="25" t="s">
        <v>19</v>
      </c>
      <c r="J44" s="25" t="s">
        <v>395</v>
      </c>
      <c r="K44" s="28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55" t="s">
        <v>102</v>
      </c>
      <c r="B45" s="25" t="s">
        <v>103</v>
      </c>
      <c r="C45" s="25" t="s">
        <v>104</v>
      </c>
      <c r="D45" s="26">
        <f t="shared" si="1"/>
        <v>45211</v>
      </c>
      <c r="E45" s="56" t="s">
        <v>18</v>
      </c>
      <c r="F45" s="31"/>
      <c r="G45" s="57" t="s">
        <v>396</v>
      </c>
      <c r="H45" s="25" t="s">
        <v>105</v>
      </c>
      <c r="I45" s="25" t="s">
        <v>19</v>
      </c>
      <c r="J45" s="25" t="s">
        <v>397</v>
      </c>
      <c r="K45" s="28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55" t="s">
        <v>108</v>
      </c>
      <c r="B46" s="25" t="s">
        <v>109</v>
      </c>
      <c r="C46" s="25" t="s">
        <v>110</v>
      </c>
      <c r="D46" s="26">
        <f t="shared" si="1"/>
        <v>45211</v>
      </c>
      <c r="E46" s="56" t="s">
        <v>18</v>
      </c>
      <c r="F46" s="31"/>
      <c r="G46" s="57" t="s">
        <v>396</v>
      </c>
      <c r="H46" s="25" t="s">
        <v>105</v>
      </c>
      <c r="I46" s="25" t="s">
        <v>19</v>
      </c>
      <c r="J46" s="25" t="s">
        <v>397</v>
      </c>
      <c r="K46" s="28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55" t="s">
        <v>283</v>
      </c>
      <c r="B47" s="25" t="s">
        <v>284</v>
      </c>
      <c r="C47" s="25" t="s">
        <v>285</v>
      </c>
      <c r="D47" s="26">
        <f t="shared" si="1"/>
        <v>45211</v>
      </c>
      <c r="E47" s="56" t="s">
        <v>18</v>
      </c>
      <c r="F47" s="31"/>
      <c r="G47" s="57" t="s">
        <v>398</v>
      </c>
      <c r="H47" s="25" t="s">
        <v>45</v>
      </c>
      <c r="I47" s="25" t="s">
        <v>47</v>
      </c>
      <c r="J47" s="25" t="s">
        <v>399</v>
      </c>
      <c r="K47" s="2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55" t="s">
        <v>42</v>
      </c>
      <c r="B48" s="25" t="s">
        <v>43</v>
      </c>
      <c r="C48" s="25" t="s">
        <v>44</v>
      </c>
      <c r="D48" s="26">
        <f t="shared" si="1"/>
        <v>45211</v>
      </c>
      <c r="E48" s="56" t="s">
        <v>18</v>
      </c>
      <c r="F48" s="31"/>
      <c r="G48" s="57" t="s">
        <v>398</v>
      </c>
      <c r="H48" s="25" t="s">
        <v>45</v>
      </c>
      <c r="I48" s="25" t="s">
        <v>47</v>
      </c>
      <c r="J48" s="25" t="s">
        <v>399</v>
      </c>
      <c r="K48" s="2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55" t="s">
        <v>129</v>
      </c>
      <c r="B49" s="25" t="s">
        <v>130</v>
      </c>
      <c r="C49" s="25" t="s">
        <v>131</v>
      </c>
      <c r="D49" s="26">
        <f t="shared" si="1"/>
        <v>45211</v>
      </c>
      <c r="E49" s="56" t="s">
        <v>18</v>
      </c>
      <c r="F49" s="31"/>
      <c r="G49" s="57" t="s">
        <v>400</v>
      </c>
      <c r="H49" s="25" t="s">
        <v>132</v>
      </c>
      <c r="I49" s="25" t="s">
        <v>27</v>
      </c>
      <c r="J49" s="25" t="s">
        <v>401</v>
      </c>
      <c r="K49" s="2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55" t="s">
        <v>76</v>
      </c>
      <c r="B50" s="25" t="s">
        <v>77</v>
      </c>
      <c r="C50" s="25" t="s">
        <v>78</v>
      </c>
      <c r="D50" s="26">
        <f t="shared" si="1"/>
        <v>45211</v>
      </c>
      <c r="E50" s="56" t="s">
        <v>18</v>
      </c>
      <c r="F50" s="31"/>
      <c r="G50" s="57" t="s">
        <v>400</v>
      </c>
      <c r="H50" s="25" t="s">
        <v>79</v>
      </c>
      <c r="I50" s="25" t="s">
        <v>19</v>
      </c>
      <c r="J50" s="25" t="s">
        <v>402</v>
      </c>
      <c r="K50" s="28" t="s">
        <v>82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55" t="s">
        <v>273</v>
      </c>
      <c r="B51" s="25" t="s">
        <v>274</v>
      </c>
      <c r="C51" s="25" t="s">
        <v>275</v>
      </c>
      <c r="D51" s="26">
        <f t="shared" si="1"/>
        <v>45211</v>
      </c>
      <c r="E51" s="56" t="s">
        <v>18</v>
      </c>
      <c r="F51" s="31"/>
      <c r="G51" s="57" t="s">
        <v>400</v>
      </c>
      <c r="H51" s="25" t="s">
        <v>79</v>
      </c>
      <c r="I51" s="25" t="s">
        <v>19</v>
      </c>
      <c r="J51" s="25" t="s">
        <v>402</v>
      </c>
      <c r="K51" s="28" t="s">
        <v>82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55" t="s">
        <v>83</v>
      </c>
      <c r="B52" s="25" t="s">
        <v>84</v>
      </c>
      <c r="C52" s="25" t="s">
        <v>85</v>
      </c>
      <c r="D52" s="26">
        <f t="shared" si="1"/>
        <v>45211</v>
      </c>
      <c r="E52" s="56" t="s">
        <v>18</v>
      </c>
      <c r="F52" s="31"/>
      <c r="G52" s="57" t="s">
        <v>403</v>
      </c>
      <c r="H52" s="25" t="s">
        <v>86</v>
      </c>
      <c r="I52" s="25" t="s">
        <v>19</v>
      </c>
      <c r="J52" s="25" t="s">
        <v>404</v>
      </c>
      <c r="K52" s="28" t="s">
        <v>82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55" t="s">
        <v>291</v>
      </c>
      <c r="B53" s="25" t="s">
        <v>292</v>
      </c>
      <c r="C53" s="25" t="s">
        <v>293</v>
      </c>
      <c r="D53" s="26">
        <f t="shared" si="1"/>
        <v>45211</v>
      </c>
      <c r="E53" s="56" t="s">
        <v>18</v>
      </c>
      <c r="F53" s="31"/>
      <c r="G53" s="57" t="s">
        <v>405</v>
      </c>
      <c r="H53" s="25" t="s">
        <v>294</v>
      </c>
      <c r="I53" s="25" t="s">
        <v>27</v>
      </c>
      <c r="J53" s="25" t="s">
        <v>406</v>
      </c>
      <c r="K53" s="2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55" t="s">
        <v>67</v>
      </c>
      <c r="B54" s="25" t="s">
        <v>68</v>
      </c>
      <c r="C54" s="25" t="s">
        <v>69</v>
      </c>
      <c r="D54" s="26">
        <f t="shared" si="1"/>
        <v>45211</v>
      </c>
      <c r="E54" s="56" t="s">
        <v>18</v>
      </c>
      <c r="F54" s="31"/>
      <c r="G54" s="57" t="s">
        <v>407</v>
      </c>
      <c r="H54" s="25" t="s">
        <v>16</v>
      </c>
      <c r="I54" s="25" t="s">
        <v>19</v>
      </c>
      <c r="J54" s="25" t="s">
        <v>408</v>
      </c>
      <c r="K54" s="2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55" t="s">
        <v>304</v>
      </c>
      <c r="B55" s="25" t="s">
        <v>71</v>
      </c>
      <c r="C55" s="25" t="s">
        <v>305</v>
      </c>
      <c r="D55" s="26">
        <f t="shared" si="1"/>
        <v>45211</v>
      </c>
      <c r="E55" s="56" t="s">
        <v>18</v>
      </c>
      <c r="F55" s="31"/>
      <c r="G55" s="57" t="s">
        <v>409</v>
      </c>
      <c r="H55" s="25" t="s">
        <v>32</v>
      </c>
      <c r="I55" s="25" t="s">
        <v>34</v>
      </c>
      <c r="J55" s="25" t="s">
        <v>410</v>
      </c>
      <c r="K55" s="2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55" t="s">
        <v>308</v>
      </c>
      <c r="B56" s="25" t="s">
        <v>309</v>
      </c>
      <c r="C56" s="25" t="s">
        <v>310</v>
      </c>
      <c r="D56" s="26">
        <f t="shared" si="1"/>
        <v>45211</v>
      </c>
      <c r="E56" s="56" t="s">
        <v>18</v>
      </c>
      <c r="F56" s="31"/>
      <c r="G56" s="57" t="s">
        <v>409</v>
      </c>
      <c r="H56" s="25" t="s">
        <v>32</v>
      </c>
      <c r="I56" s="25" t="s">
        <v>34</v>
      </c>
      <c r="J56" s="25" t="s">
        <v>410</v>
      </c>
      <c r="K56" s="2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55" t="s">
        <v>98</v>
      </c>
      <c r="B57" s="25" t="s">
        <v>99</v>
      </c>
      <c r="C57" s="25" t="s">
        <v>100</v>
      </c>
      <c r="D57" s="26">
        <f t="shared" si="1"/>
        <v>45211</v>
      </c>
      <c r="E57" s="56" t="s">
        <v>18</v>
      </c>
      <c r="F57" s="31"/>
      <c r="G57" s="57" t="s">
        <v>409</v>
      </c>
      <c r="H57" s="25" t="s">
        <v>32</v>
      </c>
      <c r="I57" s="25" t="s">
        <v>34</v>
      </c>
      <c r="J57" s="25" t="s">
        <v>410</v>
      </c>
      <c r="K57" s="2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55" t="s">
        <v>29</v>
      </c>
      <c r="B58" s="25" t="s">
        <v>30</v>
      </c>
      <c r="C58" s="25" t="s">
        <v>31</v>
      </c>
      <c r="D58" s="26">
        <f t="shared" si="1"/>
        <v>45211</v>
      </c>
      <c r="E58" s="56" t="s">
        <v>18</v>
      </c>
      <c r="F58" s="31"/>
      <c r="G58" s="57" t="s">
        <v>409</v>
      </c>
      <c r="H58" s="25" t="s">
        <v>32</v>
      </c>
      <c r="I58" s="25" t="s">
        <v>34</v>
      </c>
      <c r="J58" s="25" t="s">
        <v>410</v>
      </c>
      <c r="K58" s="2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55" t="s">
        <v>233</v>
      </c>
      <c r="B59" s="25" t="s">
        <v>234</v>
      </c>
      <c r="C59" s="25" t="s">
        <v>235</v>
      </c>
      <c r="D59" s="26">
        <f t="shared" si="1"/>
        <v>45211</v>
      </c>
      <c r="E59" s="56" t="s">
        <v>18</v>
      </c>
      <c r="F59" s="31"/>
      <c r="G59" s="57" t="s">
        <v>411</v>
      </c>
      <c r="H59" s="25" t="s">
        <v>236</v>
      </c>
      <c r="I59" s="25" t="s">
        <v>19</v>
      </c>
      <c r="J59" s="25" t="s">
        <v>412</v>
      </c>
      <c r="K59" s="2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55" t="s">
        <v>322</v>
      </c>
      <c r="B60" s="25" t="s">
        <v>323</v>
      </c>
      <c r="C60" s="25" t="s">
        <v>324</v>
      </c>
      <c r="D60" s="26">
        <f t="shared" si="1"/>
        <v>45211</v>
      </c>
      <c r="E60" s="56" t="s">
        <v>18</v>
      </c>
      <c r="F60" s="31"/>
      <c r="G60" s="57" t="s">
        <v>411</v>
      </c>
      <c r="H60" s="25" t="s">
        <v>325</v>
      </c>
      <c r="I60" s="25" t="s">
        <v>19</v>
      </c>
      <c r="J60" s="25" t="s">
        <v>413</v>
      </c>
      <c r="K60" s="2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55" t="s">
        <v>111</v>
      </c>
      <c r="B61" s="25" t="s">
        <v>112</v>
      </c>
      <c r="C61" s="25" t="s">
        <v>113</v>
      </c>
      <c r="D61" s="26">
        <f t="shared" si="1"/>
        <v>45211</v>
      </c>
      <c r="E61" s="56" t="s">
        <v>18</v>
      </c>
      <c r="F61" s="32"/>
      <c r="G61" s="57" t="s">
        <v>411</v>
      </c>
      <c r="H61" s="25" t="s">
        <v>114</v>
      </c>
      <c r="I61" s="25" t="s">
        <v>19</v>
      </c>
      <c r="J61" s="25" t="s">
        <v>414</v>
      </c>
      <c r="K61" s="2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55" t="s">
        <v>117</v>
      </c>
      <c r="B62" s="25" t="s">
        <v>118</v>
      </c>
      <c r="C62" s="25" t="s">
        <v>119</v>
      </c>
      <c r="D62" s="26">
        <f t="shared" si="1"/>
        <v>45211</v>
      </c>
      <c r="E62" s="56" t="s">
        <v>18</v>
      </c>
      <c r="F62" s="52" t="s">
        <v>415</v>
      </c>
      <c r="G62" s="57" t="s">
        <v>416</v>
      </c>
      <c r="H62" s="25" t="s">
        <v>120</v>
      </c>
      <c r="I62" s="25" t="s">
        <v>19</v>
      </c>
      <c r="J62" s="25" t="s">
        <v>417</v>
      </c>
      <c r="K62" s="28" t="s">
        <v>82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55" t="s">
        <v>169</v>
      </c>
      <c r="B63" s="25" t="s">
        <v>99</v>
      </c>
      <c r="C63" s="25" t="s">
        <v>170</v>
      </c>
      <c r="D63" s="26">
        <f t="shared" si="1"/>
        <v>45211</v>
      </c>
      <c r="E63" s="56" t="s">
        <v>18</v>
      </c>
      <c r="F63" s="31"/>
      <c r="G63" s="57" t="s">
        <v>418</v>
      </c>
      <c r="H63" s="25" t="s">
        <v>171</v>
      </c>
      <c r="I63" s="25" t="s">
        <v>19</v>
      </c>
      <c r="J63" s="25" t="s">
        <v>419</v>
      </c>
      <c r="K63" s="28" t="s">
        <v>82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58" t="s">
        <v>157</v>
      </c>
      <c r="B64" s="35" t="s">
        <v>158</v>
      </c>
      <c r="C64" s="35" t="s">
        <v>159</v>
      </c>
      <c r="D64" s="36">
        <f t="shared" si="1"/>
        <v>45211</v>
      </c>
      <c r="E64" s="59" t="s">
        <v>18</v>
      </c>
      <c r="F64" s="32"/>
      <c r="G64" s="60" t="s">
        <v>420</v>
      </c>
      <c r="H64" s="35" t="s">
        <v>160</v>
      </c>
      <c r="I64" s="35" t="s">
        <v>19</v>
      </c>
      <c r="J64" s="35" t="s">
        <v>421</v>
      </c>
      <c r="K64" s="38" t="s">
        <v>82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1" t="s">
        <v>422</v>
      </c>
      <c r="B65" s="8"/>
      <c r="C65" s="8"/>
      <c r="D65" s="8"/>
      <c r="E65" s="8"/>
      <c r="F65" s="8"/>
      <c r="G65" s="8"/>
      <c r="H65" s="8"/>
      <c r="I65" s="8"/>
      <c r="J65" s="8"/>
      <c r="K65" s="9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2" t="s">
        <v>95</v>
      </c>
      <c r="B66" s="63" t="s">
        <v>96</v>
      </c>
      <c r="C66" s="63" t="s">
        <v>97</v>
      </c>
      <c r="D66" s="64">
        <f>DATE(2023,10,13)</f>
        <v>45212</v>
      </c>
      <c r="E66" s="65" t="s">
        <v>18</v>
      </c>
      <c r="F66" s="66"/>
      <c r="G66" s="67" t="s">
        <v>423</v>
      </c>
      <c r="H66" s="63" t="s">
        <v>32</v>
      </c>
      <c r="I66" s="63" t="s">
        <v>34</v>
      </c>
      <c r="J66" s="63" t="s">
        <v>424</v>
      </c>
      <c r="K66" s="6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9" t="s">
        <v>425</v>
      </c>
      <c r="B67" s="8"/>
      <c r="C67" s="8"/>
      <c r="D67" s="8"/>
      <c r="E67" s="8"/>
      <c r="F67" s="8"/>
      <c r="G67" s="8"/>
      <c r="H67" s="8"/>
      <c r="I67" s="8"/>
      <c r="J67" s="8"/>
      <c r="K67" s="9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70" t="s">
        <v>13</v>
      </c>
      <c r="B68" s="12" t="s">
        <v>14</v>
      </c>
      <c r="C68" s="12" t="s">
        <v>15</v>
      </c>
      <c r="D68" s="13">
        <f>DATE(2023,10,14)</f>
        <v>45213</v>
      </c>
      <c r="E68" s="71" t="s">
        <v>18</v>
      </c>
      <c r="F68" s="72" t="s">
        <v>426</v>
      </c>
      <c r="G68" s="73" t="s">
        <v>427</v>
      </c>
      <c r="H68" s="12" t="s">
        <v>16</v>
      </c>
      <c r="I68" s="12" t="s">
        <v>19</v>
      </c>
      <c r="J68" s="12" t="s">
        <v>428</v>
      </c>
      <c r="K68" s="15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12.75" customHeight="1">
      <c r="A69" s="75" t="s">
        <v>429</v>
      </c>
      <c r="B69" s="8"/>
      <c r="C69" s="8"/>
      <c r="D69" s="8"/>
      <c r="E69" s="8"/>
      <c r="F69" s="8"/>
      <c r="G69" s="8"/>
      <c r="H69" s="8"/>
      <c r="I69" s="8"/>
      <c r="J69" s="8"/>
      <c r="K69" s="9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76" t="s">
        <v>328</v>
      </c>
      <c r="B70" s="77" t="s">
        <v>329</v>
      </c>
      <c r="C70" s="77" t="s">
        <v>330</v>
      </c>
      <c r="D70" s="78">
        <f>DATE(2023,10,15)</f>
        <v>45214</v>
      </c>
      <c r="E70" s="79" t="s">
        <v>18</v>
      </c>
      <c r="F70" s="80" t="s">
        <v>426</v>
      </c>
      <c r="G70" s="81" t="s">
        <v>430</v>
      </c>
      <c r="H70" s="77" t="s">
        <v>331</v>
      </c>
      <c r="I70" s="77" t="s">
        <v>19</v>
      </c>
      <c r="J70" s="77" t="s">
        <v>431</v>
      </c>
      <c r="K70" s="82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12.75" customHeight="1">
      <c r="F71" s="83"/>
    </row>
    <row r="72" ht="12.75" customHeight="1">
      <c r="F72" s="83"/>
    </row>
    <row r="73" ht="12.75" customHeight="1">
      <c r="F73" s="83"/>
    </row>
    <row r="74" ht="12.75" customHeight="1">
      <c r="F74" s="83"/>
    </row>
    <row r="75" ht="12.75" customHeight="1">
      <c r="F75" s="83"/>
    </row>
    <row r="76" ht="12.75" customHeight="1">
      <c r="F76" s="83"/>
    </row>
    <row r="77" ht="12.75" customHeight="1">
      <c r="F77" s="83"/>
    </row>
    <row r="78" ht="12.75" customHeight="1">
      <c r="F78" s="83"/>
    </row>
    <row r="79" ht="12.75" customHeight="1">
      <c r="F79" s="83"/>
    </row>
    <row r="80" ht="12.75" customHeight="1">
      <c r="F80" s="83"/>
    </row>
    <row r="81" ht="12.75" customHeight="1">
      <c r="F81" s="83"/>
    </row>
    <row r="82" ht="12.75" customHeight="1">
      <c r="F82" s="83"/>
    </row>
    <row r="83" ht="12.75" customHeight="1">
      <c r="F83" s="83"/>
    </row>
    <row r="84" ht="12.75" customHeight="1">
      <c r="F84" s="83"/>
    </row>
    <row r="85" ht="12.75" customHeight="1">
      <c r="F85" s="83"/>
    </row>
    <row r="86" ht="12.75" customHeight="1">
      <c r="F86" s="83"/>
    </row>
    <row r="87" ht="12.75" customHeight="1">
      <c r="F87" s="83"/>
    </row>
    <row r="88" ht="12.75" customHeight="1">
      <c r="F88" s="83"/>
    </row>
    <row r="89" ht="12.75" customHeight="1">
      <c r="F89" s="83"/>
    </row>
    <row r="90" ht="12.75" customHeight="1">
      <c r="F90" s="83"/>
    </row>
    <row r="91" ht="12.75" customHeight="1">
      <c r="F91" s="83"/>
    </row>
    <row r="92" ht="12.75" customHeight="1">
      <c r="F92" s="83"/>
    </row>
    <row r="93" ht="12.75" customHeight="1">
      <c r="F93" s="83"/>
    </row>
    <row r="94" ht="12.75" customHeight="1">
      <c r="F94" s="83"/>
    </row>
    <row r="95" ht="12.75" customHeight="1">
      <c r="F95" s="83"/>
    </row>
    <row r="96" ht="12.75" customHeight="1">
      <c r="F96" s="83"/>
    </row>
    <row r="97" ht="12.75" customHeight="1">
      <c r="F97" s="83"/>
    </row>
    <row r="98" ht="12.75" customHeight="1">
      <c r="F98" s="83"/>
    </row>
    <row r="99" ht="12.75" customHeight="1">
      <c r="F99" s="83"/>
    </row>
    <row r="100" ht="12.75" customHeight="1">
      <c r="F100" s="83"/>
    </row>
    <row r="101" ht="12.75" customHeight="1">
      <c r="F101" s="83"/>
    </row>
    <row r="102" ht="12.75" customHeight="1">
      <c r="F102" s="83"/>
    </row>
    <row r="103" ht="12.75" customHeight="1">
      <c r="F103" s="83"/>
    </row>
    <row r="104" ht="12.75" customHeight="1">
      <c r="F104" s="83"/>
    </row>
    <row r="105" ht="12.75" customHeight="1">
      <c r="F105" s="83"/>
    </row>
    <row r="106" ht="12.75" customHeight="1">
      <c r="F106" s="83"/>
    </row>
    <row r="107" ht="12.75" customHeight="1">
      <c r="F107" s="83"/>
    </row>
    <row r="108" ht="12.75" customHeight="1">
      <c r="F108" s="83"/>
    </row>
    <row r="109" ht="12.75" customHeight="1">
      <c r="F109" s="83"/>
    </row>
    <row r="110" ht="12.75" customHeight="1">
      <c r="F110" s="83"/>
    </row>
    <row r="111" ht="12.75" customHeight="1">
      <c r="F111" s="83"/>
    </row>
    <row r="112" ht="12.75" customHeight="1">
      <c r="F112" s="83"/>
    </row>
    <row r="113" ht="12.75" customHeight="1">
      <c r="F113" s="83"/>
    </row>
    <row r="114" ht="12.75" customHeight="1">
      <c r="F114" s="83"/>
    </row>
    <row r="115" ht="12.75" customHeight="1">
      <c r="F115" s="83"/>
    </row>
    <row r="116" ht="12.75" customHeight="1">
      <c r="F116" s="83"/>
    </row>
    <row r="117" ht="12.75" customHeight="1">
      <c r="F117" s="83"/>
    </row>
    <row r="118" ht="12.75" customHeight="1">
      <c r="F118" s="83"/>
    </row>
    <row r="119" ht="12.75" customHeight="1">
      <c r="F119" s="83"/>
    </row>
    <row r="120" ht="12.75" customHeight="1">
      <c r="F120" s="83"/>
    </row>
    <row r="121" ht="12.75" customHeight="1">
      <c r="F121" s="83"/>
    </row>
    <row r="122" ht="12.75" customHeight="1">
      <c r="F122" s="83"/>
    </row>
    <row r="123" ht="12.75" customHeight="1">
      <c r="F123" s="83"/>
    </row>
    <row r="124" ht="12.75" customHeight="1">
      <c r="F124" s="83"/>
    </row>
    <row r="125" ht="12.75" customHeight="1">
      <c r="F125" s="83"/>
    </row>
    <row r="126" ht="12.75" customHeight="1">
      <c r="F126" s="83"/>
    </row>
    <row r="127" ht="12.75" customHeight="1">
      <c r="F127" s="83"/>
    </row>
    <row r="128" ht="12.75" customHeight="1">
      <c r="F128" s="83"/>
    </row>
    <row r="129" ht="12.75" customHeight="1">
      <c r="F129" s="83"/>
    </row>
    <row r="130" ht="12.75" customHeight="1">
      <c r="F130" s="83"/>
    </row>
    <row r="131" ht="12.75" customHeight="1">
      <c r="F131" s="83"/>
    </row>
    <row r="132" ht="12.75" customHeight="1">
      <c r="F132" s="83"/>
    </row>
    <row r="133" ht="12.75" customHeight="1">
      <c r="F133" s="83"/>
    </row>
    <row r="134" ht="12.75" customHeight="1">
      <c r="F134" s="83"/>
    </row>
    <row r="135" ht="12.75" customHeight="1">
      <c r="F135" s="83"/>
    </row>
    <row r="136" ht="12.75" customHeight="1">
      <c r="F136" s="83"/>
    </row>
    <row r="137" ht="12.75" customHeight="1">
      <c r="F137" s="83"/>
    </row>
    <row r="138" ht="12.75" customHeight="1">
      <c r="F138" s="83"/>
    </row>
    <row r="139" ht="12.75" customHeight="1">
      <c r="F139" s="83"/>
    </row>
    <row r="140" ht="12.75" customHeight="1">
      <c r="F140" s="83"/>
    </row>
    <row r="141" ht="12.75" customHeight="1">
      <c r="F141" s="83"/>
    </row>
    <row r="142" ht="12.75" customHeight="1">
      <c r="F142" s="83"/>
    </row>
    <row r="143" ht="12.75" customHeight="1">
      <c r="F143" s="83"/>
    </row>
    <row r="144" ht="12.75" customHeight="1">
      <c r="F144" s="83"/>
    </row>
    <row r="145" ht="12.75" customHeight="1">
      <c r="F145" s="83"/>
    </row>
    <row r="146" ht="12.75" customHeight="1">
      <c r="F146" s="83"/>
    </row>
    <row r="147" ht="12.75" customHeight="1">
      <c r="F147" s="83"/>
    </row>
    <row r="148" ht="12.75" customHeight="1">
      <c r="F148" s="83"/>
    </row>
    <row r="149" ht="12.75" customHeight="1">
      <c r="F149" s="83"/>
    </row>
    <row r="150" ht="12.75" customHeight="1">
      <c r="F150" s="83"/>
    </row>
    <row r="151" ht="12.75" customHeight="1">
      <c r="F151" s="83"/>
    </row>
    <row r="152" ht="12.75" customHeight="1">
      <c r="F152" s="83"/>
    </row>
    <row r="153" ht="12.75" customHeight="1">
      <c r="F153" s="83"/>
    </row>
    <row r="154" ht="12.75" customHeight="1">
      <c r="F154" s="83"/>
    </row>
    <row r="155" ht="12.75" customHeight="1">
      <c r="F155" s="83"/>
    </row>
    <row r="156" ht="12.75" customHeight="1">
      <c r="F156" s="83"/>
    </row>
    <row r="157" ht="12.75" customHeight="1">
      <c r="F157" s="83"/>
    </row>
    <row r="158" ht="12.75" customHeight="1">
      <c r="F158" s="83"/>
    </row>
    <row r="159" ht="12.75" customHeight="1">
      <c r="F159" s="83"/>
    </row>
    <row r="160" ht="12.75" customHeight="1">
      <c r="F160" s="83"/>
    </row>
    <row r="161" ht="12.75" customHeight="1">
      <c r="F161" s="83"/>
    </row>
    <row r="162" ht="12.75" customHeight="1">
      <c r="F162" s="83"/>
    </row>
    <row r="163" ht="12.75" customHeight="1">
      <c r="F163" s="83"/>
    </row>
    <row r="164" ht="12.75" customHeight="1">
      <c r="F164" s="83"/>
    </row>
    <row r="165" ht="12.75" customHeight="1">
      <c r="F165" s="83"/>
    </row>
    <row r="166" ht="12.75" customHeight="1">
      <c r="F166" s="83"/>
    </row>
    <row r="167" ht="12.75" customHeight="1">
      <c r="F167" s="83"/>
    </row>
    <row r="168" ht="12.75" customHeight="1">
      <c r="F168" s="83"/>
    </row>
    <row r="169" ht="12.75" customHeight="1">
      <c r="F169" s="83"/>
    </row>
    <row r="170" ht="12.75" customHeight="1">
      <c r="F170" s="83"/>
    </row>
    <row r="171" ht="12.75" customHeight="1">
      <c r="F171" s="83"/>
    </row>
    <row r="172" ht="12.75" customHeight="1">
      <c r="F172" s="83"/>
    </row>
    <row r="173" ht="12.75" customHeight="1">
      <c r="F173" s="83"/>
    </row>
    <row r="174" ht="12.75" customHeight="1">
      <c r="F174" s="83"/>
    </row>
    <row r="175" ht="12.75" customHeight="1">
      <c r="F175" s="83"/>
    </row>
    <row r="176" ht="12.75" customHeight="1">
      <c r="F176" s="83"/>
    </row>
    <row r="177" ht="12.75" customHeight="1">
      <c r="F177" s="83"/>
    </row>
    <row r="178" ht="12.75" customHeight="1">
      <c r="F178" s="83"/>
    </row>
    <row r="179" ht="12.75" customHeight="1">
      <c r="F179" s="83"/>
    </row>
    <row r="180" ht="12.75" customHeight="1">
      <c r="F180" s="83"/>
    </row>
    <row r="181" ht="12.75" customHeight="1">
      <c r="F181" s="83"/>
    </row>
    <row r="182" ht="12.75" customHeight="1">
      <c r="F182" s="83"/>
    </row>
    <row r="183" ht="12.75" customHeight="1">
      <c r="F183" s="83"/>
    </row>
    <row r="184" ht="12.75" customHeight="1">
      <c r="F184" s="83"/>
    </row>
    <row r="185" ht="12.75" customHeight="1">
      <c r="F185" s="83"/>
    </row>
    <row r="186" ht="12.75" customHeight="1">
      <c r="F186" s="83"/>
    </row>
    <row r="187" ht="12.75" customHeight="1">
      <c r="F187" s="83"/>
    </row>
    <row r="188" ht="12.75" customHeight="1">
      <c r="F188" s="83"/>
    </row>
    <row r="189" ht="12.75" customHeight="1">
      <c r="F189" s="83"/>
    </row>
    <row r="190" ht="12.75" customHeight="1">
      <c r="F190" s="83"/>
    </row>
    <row r="191" ht="12.75" customHeight="1">
      <c r="F191" s="83"/>
    </row>
    <row r="192" ht="12.75" customHeight="1">
      <c r="F192" s="83"/>
    </row>
    <row r="193" ht="12.75" customHeight="1">
      <c r="F193" s="83"/>
    </row>
    <row r="194" ht="12.75" customHeight="1">
      <c r="F194" s="83"/>
    </row>
    <row r="195" ht="12.75" customHeight="1">
      <c r="F195" s="83"/>
    </row>
    <row r="196" ht="12.75" customHeight="1">
      <c r="F196" s="83"/>
    </row>
    <row r="197" ht="12.75" customHeight="1">
      <c r="F197" s="83"/>
    </row>
    <row r="198" ht="12.75" customHeight="1">
      <c r="F198" s="83"/>
    </row>
    <row r="199" ht="12.75" customHeight="1">
      <c r="F199" s="83"/>
    </row>
    <row r="200" ht="12.75" customHeight="1">
      <c r="F200" s="83"/>
    </row>
    <row r="201" ht="12.75" customHeight="1">
      <c r="F201" s="83"/>
    </row>
    <row r="202" ht="12.75" customHeight="1">
      <c r="F202" s="83"/>
    </row>
    <row r="203" ht="12.75" customHeight="1">
      <c r="F203" s="83"/>
    </row>
    <row r="204" ht="12.75" customHeight="1">
      <c r="F204" s="83"/>
    </row>
    <row r="205" ht="12.75" customHeight="1">
      <c r="F205" s="83"/>
    </row>
    <row r="206" ht="12.75" customHeight="1">
      <c r="F206" s="83"/>
    </row>
    <row r="207" ht="12.75" customHeight="1">
      <c r="F207" s="83"/>
    </row>
    <row r="208" ht="12.75" customHeight="1">
      <c r="F208" s="83"/>
    </row>
    <row r="209" ht="12.75" customHeight="1">
      <c r="F209" s="83"/>
    </row>
    <row r="210" ht="12.75" customHeight="1">
      <c r="F210" s="83"/>
    </row>
    <row r="211" ht="12.75" customHeight="1">
      <c r="F211" s="83"/>
    </row>
    <row r="212" ht="12.75" customHeight="1">
      <c r="F212" s="83"/>
    </row>
    <row r="213" ht="12.75" customHeight="1">
      <c r="F213" s="83"/>
    </row>
    <row r="214" ht="12.75" customHeight="1">
      <c r="F214" s="83"/>
    </row>
    <row r="215" ht="12.75" customHeight="1">
      <c r="F215" s="83"/>
    </row>
    <row r="216" ht="12.75" customHeight="1">
      <c r="F216" s="83"/>
    </row>
    <row r="217" ht="12.75" customHeight="1">
      <c r="F217" s="83"/>
    </row>
    <row r="218" ht="12.75" customHeight="1">
      <c r="F218" s="83"/>
    </row>
    <row r="219" ht="12.75" customHeight="1">
      <c r="F219" s="83"/>
    </row>
    <row r="220" ht="12.75" customHeight="1">
      <c r="F220" s="83"/>
    </row>
    <row r="221" ht="12.75" customHeight="1">
      <c r="F221" s="83"/>
    </row>
    <row r="222" ht="12.75" customHeight="1">
      <c r="F222" s="83"/>
    </row>
    <row r="223" ht="12.75" customHeight="1">
      <c r="F223" s="83"/>
    </row>
    <row r="224" ht="12.75" customHeight="1">
      <c r="F224" s="83"/>
    </row>
    <row r="225" ht="12.75" customHeight="1">
      <c r="F225" s="83"/>
    </row>
    <row r="226" ht="12.75" customHeight="1">
      <c r="F226" s="83"/>
    </row>
    <row r="227" ht="12.75" customHeight="1">
      <c r="F227" s="83"/>
    </row>
    <row r="228" ht="12.75" customHeight="1">
      <c r="F228" s="83"/>
    </row>
    <row r="229" ht="12.75" customHeight="1">
      <c r="F229" s="83"/>
    </row>
    <row r="230" ht="12.75" customHeight="1">
      <c r="F230" s="83"/>
    </row>
    <row r="231" ht="12.75" customHeight="1">
      <c r="F231" s="83"/>
    </row>
    <row r="232" ht="12.75" customHeight="1">
      <c r="F232" s="83"/>
    </row>
    <row r="233" ht="12.75" customHeight="1">
      <c r="F233" s="83"/>
    </row>
    <row r="234" ht="12.75" customHeight="1">
      <c r="F234" s="83"/>
    </row>
    <row r="235" ht="12.75" customHeight="1">
      <c r="F235" s="83"/>
    </row>
    <row r="236" ht="12.75" customHeight="1">
      <c r="F236" s="83"/>
    </row>
    <row r="237" ht="12.75" customHeight="1">
      <c r="F237" s="83"/>
    </row>
    <row r="238" ht="12.75" customHeight="1">
      <c r="F238" s="83"/>
    </row>
    <row r="239" ht="12.75" customHeight="1">
      <c r="F239" s="83"/>
    </row>
    <row r="240" ht="12.75" customHeight="1">
      <c r="F240" s="83"/>
    </row>
    <row r="241" ht="12.75" customHeight="1">
      <c r="F241" s="83"/>
    </row>
    <row r="242" ht="12.75" customHeight="1">
      <c r="F242" s="83"/>
    </row>
    <row r="243" ht="12.75" customHeight="1">
      <c r="F243" s="83"/>
    </row>
    <row r="244" ht="12.75" customHeight="1">
      <c r="F244" s="83"/>
    </row>
    <row r="245" ht="12.75" customHeight="1">
      <c r="F245" s="83"/>
    </row>
    <row r="246" ht="12.75" customHeight="1">
      <c r="F246" s="83"/>
    </row>
    <row r="247" ht="12.75" customHeight="1">
      <c r="F247" s="83"/>
    </row>
    <row r="248" ht="12.75" customHeight="1">
      <c r="F248" s="83"/>
    </row>
    <row r="249" ht="12.75" customHeight="1">
      <c r="F249" s="83"/>
    </row>
    <row r="250" ht="12.75" customHeight="1">
      <c r="F250" s="83"/>
    </row>
    <row r="251" ht="12.75" customHeight="1">
      <c r="F251" s="83"/>
    </row>
    <row r="252" ht="12.75" customHeight="1">
      <c r="F252" s="83"/>
    </row>
    <row r="253" ht="12.75" customHeight="1">
      <c r="F253" s="83"/>
    </row>
    <row r="254" ht="12.75" customHeight="1">
      <c r="F254" s="83"/>
    </row>
    <row r="255" ht="12.75" customHeight="1">
      <c r="F255" s="83"/>
    </row>
    <row r="256" ht="12.75" customHeight="1">
      <c r="F256" s="83"/>
    </row>
    <row r="257" ht="12.75" customHeight="1">
      <c r="F257" s="83"/>
    </row>
    <row r="258" ht="12.75" customHeight="1">
      <c r="F258" s="83"/>
    </row>
    <row r="259" ht="12.75" customHeight="1">
      <c r="F259" s="83"/>
    </row>
    <row r="260" ht="12.75" customHeight="1">
      <c r="F260" s="83"/>
    </row>
    <row r="261" ht="12.75" customHeight="1">
      <c r="F261" s="83"/>
    </row>
    <row r="262" ht="12.75" customHeight="1">
      <c r="F262" s="83"/>
    </row>
    <row r="263" ht="12.75" customHeight="1">
      <c r="F263" s="83"/>
    </row>
    <row r="264" ht="12.75" customHeight="1">
      <c r="F264" s="83"/>
    </row>
    <row r="265" ht="12.75" customHeight="1">
      <c r="F265" s="83"/>
    </row>
    <row r="266" ht="12.75" customHeight="1">
      <c r="F266" s="83"/>
    </row>
    <row r="267" ht="12.75" customHeight="1">
      <c r="F267" s="83"/>
    </row>
    <row r="268" ht="12.75" customHeight="1">
      <c r="F268" s="83"/>
    </row>
    <row r="269" ht="12.75" customHeight="1">
      <c r="F269" s="83"/>
    </row>
    <row r="270" ht="12.75" customHeight="1">
      <c r="F270" s="83"/>
    </row>
    <row r="271" ht="12.75" customHeight="1">
      <c r="F271" s="83"/>
    </row>
    <row r="272" ht="12.75" customHeight="1">
      <c r="F272" s="83"/>
    </row>
    <row r="273" ht="12.75" customHeight="1">
      <c r="F273" s="83"/>
    </row>
    <row r="274" ht="12.75" customHeight="1">
      <c r="F274" s="83"/>
    </row>
    <row r="275" ht="12.75" customHeight="1">
      <c r="F275" s="83"/>
    </row>
    <row r="276" ht="12.75" customHeight="1">
      <c r="F276" s="83"/>
    </row>
    <row r="277" ht="12.75" customHeight="1">
      <c r="F277" s="83"/>
    </row>
    <row r="278" ht="12.75" customHeight="1">
      <c r="F278" s="83"/>
    </row>
    <row r="279" ht="12.75" customHeight="1">
      <c r="F279" s="83"/>
    </row>
    <row r="280" ht="12.75" customHeight="1">
      <c r="F280" s="83"/>
    </row>
    <row r="281" ht="12.75" customHeight="1">
      <c r="F281" s="83"/>
    </row>
    <row r="282" ht="12.75" customHeight="1">
      <c r="F282" s="83"/>
    </row>
    <row r="283" ht="12.75" customHeight="1">
      <c r="F283" s="83"/>
    </row>
    <row r="284" ht="12.75" customHeight="1">
      <c r="F284" s="83"/>
    </row>
    <row r="285" ht="12.75" customHeight="1">
      <c r="F285" s="83"/>
    </row>
    <row r="286" ht="12.75" customHeight="1">
      <c r="F286" s="83"/>
    </row>
    <row r="287" ht="12.75" customHeight="1">
      <c r="F287" s="83"/>
    </row>
    <row r="288" ht="12.75" customHeight="1">
      <c r="F288" s="83"/>
    </row>
    <row r="289" ht="12.75" customHeight="1">
      <c r="F289" s="83"/>
    </row>
    <row r="290" ht="12.75" customHeight="1">
      <c r="F290" s="83"/>
    </row>
    <row r="291" ht="12.75" customHeight="1">
      <c r="F291" s="83"/>
    </row>
    <row r="292" ht="12.75" customHeight="1">
      <c r="F292" s="83"/>
    </row>
    <row r="293" ht="12.75" customHeight="1">
      <c r="F293" s="83"/>
    </row>
    <row r="294" ht="12.75" customHeight="1">
      <c r="F294" s="83"/>
    </row>
    <row r="295" ht="12.75" customHeight="1">
      <c r="F295" s="83"/>
    </row>
    <row r="296" ht="12.75" customHeight="1">
      <c r="F296" s="83"/>
    </row>
    <row r="297" ht="12.75" customHeight="1">
      <c r="F297" s="83"/>
    </row>
    <row r="298" ht="12.75" customHeight="1">
      <c r="F298" s="83"/>
    </row>
    <row r="299" ht="12.75" customHeight="1">
      <c r="F299" s="83"/>
    </row>
    <row r="300" ht="12.75" customHeight="1">
      <c r="F300" s="83"/>
    </row>
    <row r="301" ht="12.75" customHeight="1">
      <c r="F301" s="83"/>
    </row>
    <row r="302" ht="12.75" customHeight="1">
      <c r="F302" s="83"/>
    </row>
    <row r="303" ht="12.75" customHeight="1">
      <c r="F303" s="83"/>
    </row>
    <row r="304" ht="12.75" customHeight="1">
      <c r="F304" s="83"/>
    </row>
    <row r="305" ht="12.75" customHeight="1">
      <c r="F305" s="83"/>
    </row>
    <row r="306" ht="12.75" customHeight="1">
      <c r="F306" s="83"/>
    </row>
    <row r="307" ht="12.75" customHeight="1">
      <c r="F307" s="83"/>
    </row>
    <row r="308" ht="12.75" customHeight="1">
      <c r="F308" s="83"/>
    </row>
    <row r="309" ht="12.75" customHeight="1">
      <c r="F309" s="83"/>
    </row>
    <row r="310" ht="12.75" customHeight="1">
      <c r="F310" s="83"/>
    </row>
    <row r="311" ht="12.75" customHeight="1">
      <c r="F311" s="83"/>
    </row>
    <row r="312" ht="12.75" customHeight="1">
      <c r="F312" s="83"/>
    </row>
    <row r="313" ht="12.75" customHeight="1">
      <c r="F313" s="83"/>
    </row>
    <row r="314" ht="12.75" customHeight="1">
      <c r="F314" s="83"/>
    </row>
    <row r="315" ht="12.75" customHeight="1">
      <c r="F315" s="83"/>
    </row>
    <row r="316" ht="12.75" customHeight="1">
      <c r="F316" s="83"/>
    </row>
    <row r="317" ht="12.75" customHeight="1">
      <c r="F317" s="83"/>
    </row>
    <row r="318" ht="12.75" customHeight="1">
      <c r="F318" s="83"/>
    </row>
    <row r="319" ht="12.75" customHeight="1">
      <c r="F319" s="83"/>
    </row>
    <row r="320" ht="12.75" customHeight="1">
      <c r="F320" s="83"/>
    </row>
    <row r="321" ht="12.75" customHeight="1">
      <c r="F321" s="83"/>
    </row>
    <row r="322" ht="12.75" customHeight="1">
      <c r="F322" s="83"/>
    </row>
    <row r="323" ht="12.75" customHeight="1">
      <c r="F323" s="83"/>
    </row>
    <row r="324" ht="12.75" customHeight="1">
      <c r="F324" s="83"/>
    </row>
    <row r="325" ht="12.75" customHeight="1">
      <c r="F325" s="83"/>
    </row>
    <row r="326" ht="12.75" customHeight="1">
      <c r="F326" s="83"/>
    </row>
    <row r="327" ht="12.75" customHeight="1">
      <c r="F327" s="83"/>
    </row>
    <row r="328" ht="12.75" customHeight="1">
      <c r="F328" s="83"/>
    </row>
    <row r="329" ht="12.75" customHeight="1">
      <c r="F329" s="83"/>
    </row>
    <row r="330" ht="12.75" customHeight="1">
      <c r="F330" s="83"/>
    </row>
    <row r="331" ht="12.75" customHeight="1">
      <c r="F331" s="83"/>
    </row>
    <row r="332" ht="12.75" customHeight="1">
      <c r="F332" s="83"/>
    </row>
    <row r="333" ht="12.75" customHeight="1">
      <c r="F333" s="83"/>
    </row>
    <row r="334" ht="12.75" customHeight="1">
      <c r="F334" s="83"/>
    </row>
    <row r="335" ht="12.75" customHeight="1">
      <c r="F335" s="83"/>
    </row>
    <row r="336" ht="12.75" customHeight="1">
      <c r="F336" s="83"/>
    </row>
    <row r="337" ht="12.75" customHeight="1">
      <c r="F337" s="83"/>
    </row>
    <row r="338" ht="12.75" customHeight="1">
      <c r="F338" s="83"/>
    </row>
    <row r="339" ht="12.75" customHeight="1">
      <c r="F339" s="83"/>
    </row>
    <row r="340" ht="12.75" customHeight="1">
      <c r="F340" s="83"/>
    </row>
    <row r="341" ht="12.75" customHeight="1">
      <c r="F341" s="83"/>
    </row>
    <row r="342" ht="12.75" customHeight="1">
      <c r="F342" s="83"/>
    </row>
    <row r="343" ht="12.75" customHeight="1">
      <c r="F343" s="83"/>
    </row>
    <row r="344" ht="12.75" customHeight="1">
      <c r="F344" s="83"/>
    </row>
    <row r="345" ht="12.75" customHeight="1">
      <c r="F345" s="83"/>
    </row>
    <row r="346" ht="12.75" customHeight="1">
      <c r="F346" s="83"/>
    </row>
    <row r="347" ht="12.75" customHeight="1">
      <c r="F347" s="83"/>
    </row>
    <row r="348" ht="12.75" customHeight="1">
      <c r="F348" s="83"/>
    </row>
    <row r="349" ht="12.75" customHeight="1">
      <c r="F349" s="83"/>
    </row>
    <row r="350" ht="12.75" customHeight="1">
      <c r="F350" s="83"/>
    </row>
    <row r="351" ht="12.75" customHeight="1">
      <c r="F351" s="83"/>
    </row>
    <row r="352" ht="12.75" customHeight="1">
      <c r="F352" s="83"/>
    </row>
    <row r="353" ht="12.75" customHeight="1">
      <c r="F353" s="83"/>
    </row>
    <row r="354" ht="12.75" customHeight="1">
      <c r="F354" s="83"/>
    </row>
    <row r="355" ht="12.75" customHeight="1">
      <c r="F355" s="83"/>
    </row>
    <row r="356" ht="12.75" customHeight="1">
      <c r="F356" s="83"/>
    </row>
    <row r="357" ht="12.75" customHeight="1">
      <c r="F357" s="83"/>
    </row>
    <row r="358" ht="12.75" customHeight="1">
      <c r="F358" s="83"/>
    </row>
    <row r="359" ht="12.75" customHeight="1">
      <c r="F359" s="83"/>
    </row>
    <row r="360" ht="12.75" customHeight="1">
      <c r="F360" s="83"/>
    </row>
    <row r="361" ht="12.75" customHeight="1">
      <c r="F361" s="83"/>
    </row>
    <row r="362" ht="12.75" customHeight="1">
      <c r="F362" s="83"/>
    </row>
    <row r="363" ht="12.75" customHeight="1">
      <c r="F363" s="83"/>
    </row>
    <row r="364" ht="12.75" customHeight="1">
      <c r="F364" s="83"/>
    </row>
    <row r="365" ht="12.75" customHeight="1">
      <c r="F365" s="83"/>
    </row>
    <row r="366" ht="12.75" customHeight="1">
      <c r="F366" s="83"/>
    </row>
    <row r="367" ht="12.75" customHeight="1">
      <c r="F367" s="83"/>
    </row>
    <row r="368" ht="12.75" customHeight="1">
      <c r="F368" s="83"/>
    </row>
    <row r="369" ht="12.75" customHeight="1">
      <c r="F369" s="83"/>
    </row>
    <row r="370" ht="12.75" customHeight="1">
      <c r="F370" s="83"/>
    </row>
    <row r="371" ht="12.75" customHeight="1">
      <c r="F371" s="83"/>
    </row>
    <row r="372" ht="12.75" customHeight="1">
      <c r="F372" s="83"/>
    </row>
    <row r="373" ht="12.75" customHeight="1">
      <c r="F373" s="83"/>
    </row>
    <row r="374" ht="12.75" customHeight="1">
      <c r="F374" s="83"/>
    </row>
    <row r="375" ht="12.75" customHeight="1">
      <c r="F375" s="83"/>
    </row>
    <row r="376" ht="12.75" customHeight="1">
      <c r="F376" s="83"/>
    </row>
    <row r="377" ht="12.75" customHeight="1">
      <c r="F377" s="83"/>
    </row>
    <row r="378" ht="12.75" customHeight="1">
      <c r="F378" s="83"/>
    </row>
    <row r="379" ht="12.75" customHeight="1">
      <c r="F379" s="83"/>
    </row>
    <row r="380" ht="12.75" customHeight="1">
      <c r="F380" s="83"/>
    </row>
    <row r="381" ht="12.75" customHeight="1">
      <c r="F381" s="83"/>
    </row>
    <row r="382" ht="12.75" customHeight="1">
      <c r="F382" s="83"/>
    </row>
    <row r="383" ht="12.75" customHeight="1">
      <c r="F383" s="83"/>
    </row>
    <row r="384" ht="12.75" customHeight="1">
      <c r="F384" s="83"/>
    </row>
    <row r="385" ht="12.75" customHeight="1">
      <c r="F385" s="83"/>
    </row>
    <row r="386" ht="12.75" customHeight="1">
      <c r="F386" s="83"/>
    </row>
    <row r="387" ht="12.75" customHeight="1">
      <c r="F387" s="83"/>
    </row>
    <row r="388" ht="12.75" customHeight="1">
      <c r="F388" s="83"/>
    </row>
    <row r="389" ht="12.75" customHeight="1">
      <c r="F389" s="83"/>
    </row>
    <row r="390" ht="12.75" customHeight="1">
      <c r="F390" s="83"/>
    </row>
    <row r="391" ht="12.75" customHeight="1">
      <c r="F391" s="83"/>
    </row>
    <row r="392" ht="12.75" customHeight="1">
      <c r="F392" s="83"/>
    </row>
    <row r="393" ht="12.75" customHeight="1">
      <c r="F393" s="83"/>
    </row>
    <row r="394" ht="12.75" customHeight="1">
      <c r="F394" s="83"/>
    </row>
    <row r="395" ht="12.75" customHeight="1">
      <c r="F395" s="83"/>
    </row>
    <row r="396" ht="12.75" customHeight="1">
      <c r="F396" s="83"/>
    </row>
    <row r="397" ht="12.75" customHeight="1">
      <c r="F397" s="83"/>
    </row>
    <row r="398" ht="12.75" customHeight="1">
      <c r="F398" s="83"/>
    </row>
    <row r="399" ht="12.75" customHeight="1">
      <c r="F399" s="83"/>
    </row>
    <row r="400" ht="12.75" customHeight="1">
      <c r="F400" s="83"/>
    </row>
    <row r="401" ht="12.75" customHeight="1">
      <c r="F401" s="83"/>
    </row>
    <row r="402" ht="12.75" customHeight="1">
      <c r="F402" s="83"/>
    </row>
    <row r="403" ht="12.75" customHeight="1">
      <c r="F403" s="83"/>
    </row>
    <row r="404" ht="12.75" customHeight="1">
      <c r="F404" s="83"/>
    </row>
    <row r="405" ht="12.75" customHeight="1">
      <c r="F405" s="83"/>
    </row>
    <row r="406" ht="12.75" customHeight="1">
      <c r="F406" s="83"/>
    </row>
    <row r="407" ht="12.75" customHeight="1">
      <c r="F407" s="83"/>
    </row>
    <row r="408" ht="12.75" customHeight="1">
      <c r="F408" s="83"/>
    </row>
    <row r="409" ht="12.75" customHeight="1">
      <c r="F409" s="83"/>
    </row>
    <row r="410" ht="12.75" customHeight="1">
      <c r="F410" s="83"/>
    </row>
    <row r="411" ht="12.75" customHeight="1">
      <c r="F411" s="83"/>
    </row>
    <row r="412" ht="12.75" customHeight="1">
      <c r="F412" s="83"/>
    </row>
    <row r="413" ht="12.75" customHeight="1">
      <c r="F413" s="83"/>
    </row>
    <row r="414" ht="12.75" customHeight="1">
      <c r="F414" s="83"/>
    </row>
    <row r="415" ht="12.75" customHeight="1">
      <c r="F415" s="83"/>
    </row>
    <row r="416" ht="12.75" customHeight="1">
      <c r="F416" s="83"/>
    </row>
    <row r="417" ht="12.75" customHeight="1">
      <c r="F417" s="83"/>
    </row>
    <row r="418" ht="12.75" customHeight="1">
      <c r="F418" s="83"/>
    </row>
    <row r="419" ht="12.75" customHeight="1">
      <c r="F419" s="83"/>
    </row>
    <row r="420" ht="12.75" customHeight="1">
      <c r="F420" s="83"/>
    </row>
    <row r="421" ht="12.75" customHeight="1">
      <c r="F421" s="83"/>
    </row>
    <row r="422" ht="12.75" customHeight="1">
      <c r="F422" s="83"/>
    </row>
    <row r="423" ht="12.75" customHeight="1">
      <c r="F423" s="83"/>
    </row>
    <row r="424" ht="12.75" customHeight="1">
      <c r="F424" s="83"/>
    </row>
    <row r="425" ht="12.75" customHeight="1">
      <c r="F425" s="83"/>
    </row>
    <row r="426" ht="12.75" customHeight="1">
      <c r="F426" s="83"/>
    </row>
    <row r="427" ht="12.75" customHeight="1">
      <c r="F427" s="83"/>
    </row>
    <row r="428" ht="12.75" customHeight="1">
      <c r="F428" s="83"/>
    </row>
    <row r="429" ht="12.75" customHeight="1">
      <c r="F429" s="83"/>
    </row>
    <row r="430" ht="12.75" customHeight="1">
      <c r="F430" s="83"/>
    </row>
    <row r="431" ht="12.75" customHeight="1">
      <c r="F431" s="83"/>
    </row>
    <row r="432" ht="12.75" customHeight="1">
      <c r="F432" s="83"/>
    </row>
    <row r="433" ht="12.75" customHeight="1">
      <c r="F433" s="83"/>
    </row>
    <row r="434" ht="12.75" customHeight="1">
      <c r="F434" s="83"/>
    </row>
    <row r="435" ht="12.75" customHeight="1">
      <c r="F435" s="83"/>
    </row>
    <row r="436" ht="12.75" customHeight="1">
      <c r="F436" s="83"/>
    </row>
    <row r="437" ht="12.75" customHeight="1">
      <c r="F437" s="83"/>
    </row>
    <row r="438" ht="12.75" customHeight="1">
      <c r="F438" s="83"/>
    </row>
    <row r="439" ht="12.75" customHeight="1">
      <c r="F439" s="83"/>
    </row>
    <row r="440" ht="12.75" customHeight="1">
      <c r="F440" s="83"/>
    </row>
    <row r="441" ht="12.75" customHeight="1">
      <c r="F441" s="83"/>
    </row>
    <row r="442" ht="12.75" customHeight="1">
      <c r="F442" s="83"/>
    </row>
    <row r="443" ht="12.75" customHeight="1">
      <c r="F443" s="83"/>
    </row>
    <row r="444" ht="12.75" customHeight="1">
      <c r="F444" s="83"/>
    </row>
    <row r="445" ht="12.75" customHeight="1">
      <c r="F445" s="83"/>
    </row>
    <row r="446" ht="12.75" customHeight="1">
      <c r="F446" s="83"/>
    </row>
    <row r="447" ht="12.75" customHeight="1">
      <c r="F447" s="83"/>
    </row>
    <row r="448" ht="12.75" customHeight="1">
      <c r="F448" s="83"/>
    </row>
    <row r="449" ht="12.75" customHeight="1">
      <c r="F449" s="83"/>
    </row>
    <row r="450" ht="12.75" customHeight="1">
      <c r="F450" s="83"/>
    </row>
    <row r="451" ht="12.75" customHeight="1">
      <c r="F451" s="83"/>
    </row>
    <row r="452" ht="12.75" customHeight="1">
      <c r="F452" s="83"/>
    </row>
    <row r="453" ht="12.75" customHeight="1">
      <c r="F453" s="83"/>
    </row>
    <row r="454" ht="12.75" customHeight="1">
      <c r="F454" s="83"/>
    </row>
    <row r="455" ht="12.75" customHeight="1">
      <c r="F455" s="83"/>
    </row>
    <row r="456" ht="12.75" customHeight="1">
      <c r="F456" s="83"/>
    </row>
    <row r="457" ht="12.75" customHeight="1">
      <c r="F457" s="83"/>
    </row>
    <row r="458" ht="12.75" customHeight="1">
      <c r="F458" s="83"/>
    </row>
    <row r="459" ht="12.75" customHeight="1">
      <c r="F459" s="83"/>
    </row>
    <row r="460" ht="12.75" customHeight="1">
      <c r="F460" s="83"/>
    </row>
    <row r="461" ht="12.75" customHeight="1">
      <c r="F461" s="83"/>
    </row>
    <row r="462" ht="12.75" customHeight="1">
      <c r="F462" s="83"/>
    </row>
    <row r="463" ht="12.75" customHeight="1">
      <c r="F463" s="83"/>
    </row>
    <row r="464" ht="12.75" customHeight="1">
      <c r="F464" s="83"/>
    </row>
    <row r="465" ht="12.75" customHeight="1">
      <c r="F465" s="83"/>
    </row>
    <row r="466" ht="12.75" customHeight="1">
      <c r="F466" s="83"/>
    </row>
    <row r="467" ht="12.75" customHeight="1">
      <c r="F467" s="83"/>
    </row>
    <row r="468" ht="12.75" customHeight="1">
      <c r="F468" s="83"/>
    </row>
    <row r="469" ht="12.75" customHeight="1">
      <c r="F469" s="83"/>
    </row>
    <row r="470" ht="12.75" customHeight="1">
      <c r="F470" s="83"/>
    </row>
    <row r="471" ht="12.75" customHeight="1">
      <c r="F471" s="83"/>
    </row>
    <row r="472" ht="12.75" customHeight="1">
      <c r="F472" s="83"/>
    </row>
    <row r="473" ht="12.75" customHeight="1">
      <c r="F473" s="83"/>
    </row>
    <row r="474" ht="12.75" customHeight="1">
      <c r="F474" s="83"/>
    </row>
    <row r="475" ht="12.75" customHeight="1">
      <c r="F475" s="83"/>
    </row>
    <row r="476" ht="12.75" customHeight="1">
      <c r="F476" s="83"/>
    </row>
    <row r="477" ht="12.75" customHeight="1">
      <c r="F477" s="83"/>
    </row>
    <row r="478" ht="12.75" customHeight="1">
      <c r="F478" s="83"/>
    </row>
    <row r="479" ht="12.75" customHeight="1">
      <c r="F479" s="83"/>
    </row>
    <row r="480" ht="12.75" customHeight="1">
      <c r="F480" s="83"/>
    </row>
    <row r="481" ht="12.75" customHeight="1">
      <c r="F481" s="83"/>
    </row>
    <row r="482" ht="12.75" customHeight="1">
      <c r="F482" s="83"/>
    </row>
    <row r="483" ht="12.75" customHeight="1">
      <c r="F483" s="83"/>
    </row>
    <row r="484" ht="12.75" customHeight="1">
      <c r="F484" s="83"/>
    </row>
    <row r="485" ht="12.75" customHeight="1">
      <c r="F485" s="83"/>
    </row>
    <row r="486" ht="12.75" customHeight="1">
      <c r="F486" s="83"/>
    </row>
    <row r="487" ht="12.75" customHeight="1">
      <c r="F487" s="83"/>
    </row>
    <row r="488" ht="12.75" customHeight="1">
      <c r="F488" s="83"/>
    </row>
    <row r="489" ht="12.75" customHeight="1">
      <c r="F489" s="83"/>
    </row>
    <row r="490" ht="12.75" customHeight="1">
      <c r="F490" s="83"/>
    </row>
    <row r="491" ht="12.75" customHeight="1">
      <c r="F491" s="83"/>
    </row>
    <row r="492" ht="12.75" customHeight="1">
      <c r="F492" s="83"/>
    </row>
    <row r="493" ht="12.75" customHeight="1">
      <c r="F493" s="83"/>
    </row>
    <row r="494" ht="12.75" customHeight="1">
      <c r="F494" s="83"/>
    </row>
    <row r="495" ht="12.75" customHeight="1">
      <c r="F495" s="83"/>
    </row>
    <row r="496" ht="12.75" customHeight="1">
      <c r="F496" s="83"/>
    </row>
    <row r="497" ht="12.75" customHeight="1">
      <c r="F497" s="83"/>
    </row>
    <row r="498" ht="12.75" customHeight="1">
      <c r="F498" s="83"/>
    </row>
    <row r="499" ht="12.75" customHeight="1">
      <c r="F499" s="83"/>
    </row>
    <row r="500" ht="12.75" customHeight="1">
      <c r="F500" s="83"/>
    </row>
    <row r="501" ht="12.75" customHeight="1">
      <c r="F501" s="83"/>
    </row>
    <row r="502" ht="12.75" customHeight="1">
      <c r="F502" s="83"/>
    </row>
    <row r="503" ht="12.75" customHeight="1">
      <c r="F503" s="83"/>
    </row>
    <row r="504" ht="12.75" customHeight="1">
      <c r="F504" s="83"/>
    </row>
    <row r="505" ht="12.75" customHeight="1">
      <c r="F505" s="83"/>
    </row>
    <row r="506" ht="12.75" customHeight="1">
      <c r="F506" s="83"/>
    </row>
    <row r="507" ht="12.75" customHeight="1">
      <c r="F507" s="83"/>
    </row>
    <row r="508" ht="12.75" customHeight="1">
      <c r="F508" s="83"/>
    </row>
    <row r="509" ht="12.75" customHeight="1">
      <c r="F509" s="83"/>
    </row>
    <row r="510" ht="12.75" customHeight="1">
      <c r="F510" s="83"/>
    </row>
    <row r="511" ht="12.75" customHeight="1">
      <c r="F511" s="83"/>
    </row>
    <row r="512" ht="12.75" customHeight="1">
      <c r="F512" s="83"/>
    </row>
    <row r="513" ht="12.75" customHeight="1">
      <c r="F513" s="83"/>
    </row>
    <row r="514" ht="12.75" customHeight="1">
      <c r="F514" s="83"/>
    </row>
    <row r="515" ht="12.75" customHeight="1">
      <c r="F515" s="83"/>
    </row>
    <row r="516" ht="12.75" customHeight="1">
      <c r="F516" s="83"/>
    </row>
    <row r="517" ht="12.75" customHeight="1">
      <c r="F517" s="83"/>
    </row>
    <row r="518" ht="12.75" customHeight="1">
      <c r="F518" s="83"/>
    </row>
    <row r="519" ht="12.75" customHeight="1">
      <c r="F519" s="83"/>
    </row>
    <row r="520" ht="12.75" customHeight="1">
      <c r="F520" s="83"/>
    </row>
    <row r="521" ht="12.75" customHeight="1">
      <c r="F521" s="83"/>
    </row>
    <row r="522" ht="12.75" customHeight="1">
      <c r="F522" s="83"/>
    </row>
    <row r="523" ht="12.75" customHeight="1">
      <c r="F523" s="83"/>
    </row>
    <row r="524" ht="12.75" customHeight="1">
      <c r="F524" s="83"/>
    </row>
    <row r="525" ht="12.75" customHeight="1">
      <c r="F525" s="83"/>
    </row>
    <row r="526" ht="12.75" customHeight="1">
      <c r="F526" s="83"/>
    </row>
    <row r="527" ht="12.75" customHeight="1">
      <c r="F527" s="83"/>
    </row>
    <row r="528" ht="12.75" customHeight="1">
      <c r="F528" s="83"/>
    </row>
    <row r="529" ht="12.75" customHeight="1">
      <c r="F529" s="83"/>
    </row>
    <row r="530" ht="12.75" customHeight="1">
      <c r="F530" s="83"/>
    </row>
    <row r="531" ht="12.75" customHeight="1">
      <c r="F531" s="83"/>
    </row>
    <row r="532" ht="12.75" customHeight="1">
      <c r="F532" s="83"/>
    </row>
    <row r="533" ht="12.75" customHeight="1">
      <c r="F533" s="83"/>
    </row>
    <row r="534" ht="12.75" customHeight="1">
      <c r="F534" s="83"/>
    </row>
    <row r="535" ht="12.75" customHeight="1">
      <c r="F535" s="83"/>
    </row>
    <row r="536" ht="12.75" customHeight="1">
      <c r="F536" s="83"/>
    </row>
    <row r="537" ht="12.75" customHeight="1">
      <c r="F537" s="83"/>
    </row>
    <row r="538" ht="12.75" customHeight="1">
      <c r="F538" s="83"/>
    </row>
    <row r="539" ht="12.75" customHeight="1">
      <c r="F539" s="83"/>
    </row>
    <row r="540" ht="12.75" customHeight="1">
      <c r="F540" s="83"/>
    </row>
    <row r="541" ht="12.75" customHeight="1">
      <c r="F541" s="83"/>
    </row>
    <row r="542" ht="12.75" customHeight="1">
      <c r="F542" s="83"/>
    </row>
    <row r="543" ht="12.75" customHeight="1">
      <c r="F543" s="83"/>
    </row>
    <row r="544" ht="12.75" customHeight="1">
      <c r="F544" s="83"/>
    </row>
    <row r="545" ht="12.75" customHeight="1">
      <c r="F545" s="83"/>
    </row>
    <row r="546" ht="12.75" customHeight="1">
      <c r="F546" s="83"/>
    </row>
    <row r="547" ht="12.75" customHeight="1">
      <c r="F547" s="83"/>
    </row>
    <row r="548" ht="12.75" customHeight="1">
      <c r="F548" s="83"/>
    </row>
    <row r="549" ht="12.75" customHeight="1">
      <c r="F549" s="83"/>
    </row>
    <row r="550" ht="12.75" customHeight="1">
      <c r="F550" s="83"/>
    </row>
    <row r="551" ht="12.75" customHeight="1">
      <c r="F551" s="83"/>
    </row>
    <row r="552" ht="12.75" customHeight="1">
      <c r="F552" s="83"/>
    </row>
    <row r="553" ht="12.75" customHeight="1">
      <c r="F553" s="83"/>
    </row>
    <row r="554" ht="12.75" customHeight="1">
      <c r="F554" s="83"/>
    </row>
    <row r="555" ht="12.75" customHeight="1">
      <c r="F555" s="83"/>
    </row>
    <row r="556" ht="12.75" customHeight="1">
      <c r="F556" s="83"/>
    </row>
    <row r="557" ht="12.75" customHeight="1">
      <c r="F557" s="83"/>
    </row>
    <row r="558" ht="12.75" customHeight="1">
      <c r="F558" s="83"/>
    </row>
    <row r="559" ht="12.75" customHeight="1">
      <c r="F559" s="83"/>
    </row>
    <row r="560" ht="12.75" customHeight="1">
      <c r="F560" s="83"/>
    </row>
    <row r="561" ht="12.75" customHeight="1">
      <c r="F561" s="83"/>
    </row>
    <row r="562" ht="12.75" customHeight="1">
      <c r="F562" s="83"/>
    </row>
    <row r="563" ht="12.75" customHeight="1">
      <c r="F563" s="83"/>
    </row>
    <row r="564" ht="12.75" customHeight="1">
      <c r="F564" s="83"/>
    </row>
    <row r="565" ht="12.75" customHeight="1">
      <c r="F565" s="83"/>
    </row>
    <row r="566" ht="12.75" customHeight="1">
      <c r="F566" s="83"/>
    </row>
    <row r="567" ht="12.75" customHeight="1">
      <c r="F567" s="83"/>
    </row>
    <row r="568" ht="12.75" customHeight="1">
      <c r="F568" s="83"/>
    </row>
    <row r="569" ht="12.75" customHeight="1">
      <c r="F569" s="83"/>
    </row>
    <row r="570" ht="12.75" customHeight="1">
      <c r="F570" s="83"/>
    </row>
    <row r="571" ht="12.75" customHeight="1">
      <c r="F571" s="83"/>
    </row>
    <row r="572" ht="12.75" customHeight="1">
      <c r="F572" s="83"/>
    </row>
    <row r="573" ht="12.75" customHeight="1">
      <c r="F573" s="83"/>
    </row>
    <row r="574" ht="12.75" customHeight="1">
      <c r="F574" s="83"/>
    </row>
    <row r="575" ht="12.75" customHeight="1">
      <c r="F575" s="83"/>
    </row>
    <row r="576" ht="12.75" customHeight="1">
      <c r="F576" s="83"/>
    </row>
    <row r="577" ht="12.75" customHeight="1">
      <c r="F577" s="83"/>
    </row>
    <row r="578" ht="12.75" customHeight="1">
      <c r="F578" s="83"/>
    </row>
    <row r="579" ht="12.75" customHeight="1">
      <c r="F579" s="83"/>
    </row>
    <row r="580" ht="12.75" customHeight="1">
      <c r="F580" s="83"/>
    </row>
    <row r="581" ht="12.75" customHeight="1">
      <c r="F581" s="83"/>
    </row>
    <row r="582" ht="12.75" customHeight="1">
      <c r="F582" s="83"/>
    </row>
    <row r="583" ht="12.75" customHeight="1">
      <c r="F583" s="83"/>
    </row>
    <row r="584" ht="12.75" customHeight="1">
      <c r="F584" s="83"/>
    </row>
    <row r="585" ht="12.75" customHeight="1">
      <c r="F585" s="83"/>
    </row>
    <row r="586" ht="12.75" customHeight="1">
      <c r="F586" s="83"/>
    </row>
    <row r="587" ht="12.75" customHeight="1">
      <c r="F587" s="83"/>
    </row>
    <row r="588" ht="12.75" customHeight="1">
      <c r="F588" s="83"/>
    </row>
    <row r="589" ht="12.75" customHeight="1">
      <c r="F589" s="83"/>
    </row>
    <row r="590" ht="12.75" customHeight="1">
      <c r="F590" s="83"/>
    </row>
    <row r="591" ht="12.75" customHeight="1">
      <c r="F591" s="83"/>
    </row>
    <row r="592" ht="12.75" customHeight="1">
      <c r="F592" s="83"/>
    </row>
    <row r="593" ht="12.75" customHeight="1">
      <c r="F593" s="83"/>
    </row>
    <row r="594" ht="12.75" customHeight="1">
      <c r="F594" s="83"/>
    </row>
    <row r="595" ht="12.75" customHeight="1">
      <c r="F595" s="83"/>
    </row>
    <row r="596" ht="12.75" customHeight="1">
      <c r="F596" s="83"/>
    </row>
    <row r="597" ht="12.75" customHeight="1">
      <c r="F597" s="83"/>
    </row>
    <row r="598" ht="12.75" customHeight="1">
      <c r="F598" s="83"/>
    </row>
    <row r="599" ht="12.75" customHeight="1">
      <c r="F599" s="83"/>
    </row>
    <row r="600" ht="12.75" customHeight="1">
      <c r="F600" s="83"/>
    </row>
    <row r="601" ht="12.75" customHeight="1">
      <c r="F601" s="83"/>
    </row>
    <row r="602" ht="12.75" customHeight="1">
      <c r="F602" s="83"/>
    </row>
    <row r="603" ht="12.75" customHeight="1">
      <c r="F603" s="83"/>
    </row>
    <row r="604" ht="12.75" customHeight="1">
      <c r="F604" s="83"/>
    </row>
    <row r="605" ht="12.75" customHeight="1">
      <c r="F605" s="83"/>
    </row>
    <row r="606" ht="12.75" customHeight="1">
      <c r="F606" s="83"/>
    </row>
    <row r="607" ht="12.75" customHeight="1">
      <c r="F607" s="83"/>
    </row>
    <row r="608" ht="12.75" customHeight="1">
      <c r="F608" s="83"/>
    </row>
    <row r="609" ht="12.75" customHeight="1">
      <c r="F609" s="83"/>
    </row>
    <row r="610" ht="12.75" customHeight="1">
      <c r="F610" s="83"/>
    </row>
    <row r="611" ht="12.75" customHeight="1">
      <c r="F611" s="83"/>
    </row>
    <row r="612" ht="12.75" customHeight="1">
      <c r="F612" s="83"/>
    </row>
    <row r="613" ht="12.75" customHeight="1">
      <c r="F613" s="83"/>
    </row>
    <row r="614" ht="12.75" customHeight="1">
      <c r="F614" s="83"/>
    </row>
    <row r="615" ht="12.75" customHeight="1">
      <c r="F615" s="83"/>
    </row>
    <row r="616" ht="12.75" customHeight="1">
      <c r="F616" s="83"/>
    </row>
    <row r="617" ht="12.75" customHeight="1">
      <c r="F617" s="83"/>
    </row>
    <row r="618" ht="12.75" customHeight="1">
      <c r="F618" s="83"/>
    </row>
    <row r="619" ht="12.75" customHeight="1">
      <c r="F619" s="83"/>
    </row>
    <row r="620" ht="12.75" customHeight="1">
      <c r="F620" s="83"/>
    </row>
    <row r="621" ht="12.75" customHeight="1">
      <c r="F621" s="83"/>
    </row>
    <row r="622" ht="12.75" customHeight="1">
      <c r="F622" s="83"/>
    </row>
    <row r="623" ht="12.75" customHeight="1">
      <c r="F623" s="83"/>
    </row>
    <row r="624" ht="12.75" customHeight="1">
      <c r="F624" s="83"/>
    </row>
    <row r="625" ht="12.75" customHeight="1">
      <c r="F625" s="83"/>
    </row>
    <row r="626" ht="12.75" customHeight="1">
      <c r="F626" s="83"/>
    </row>
    <row r="627" ht="12.75" customHeight="1">
      <c r="F627" s="83"/>
    </row>
    <row r="628" ht="12.75" customHeight="1">
      <c r="F628" s="83"/>
    </row>
    <row r="629" ht="12.75" customHeight="1">
      <c r="F629" s="83"/>
    </row>
    <row r="630" ht="12.75" customHeight="1">
      <c r="F630" s="83"/>
    </row>
    <row r="631" ht="12.75" customHeight="1">
      <c r="F631" s="83"/>
    </row>
    <row r="632" ht="12.75" customHeight="1">
      <c r="F632" s="83"/>
    </row>
    <row r="633" ht="12.75" customHeight="1">
      <c r="F633" s="83"/>
    </row>
    <row r="634" ht="12.75" customHeight="1">
      <c r="F634" s="83"/>
    </row>
    <row r="635" ht="12.75" customHeight="1">
      <c r="F635" s="83"/>
    </row>
    <row r="636" ht="12.75" customHeight="1">
      <c r="F636" s="83"/>
    </row>
    <row r="637" ht="12.75" customHeight="1">
      <c r="F637" s="83"/>
    </row>
    <row r="638" ht="12.75" customHeight="1">
      <c r="F638" s="83"/>
    </row>
    <row r="639" ht="12.75" customHeight="1">
      <c r="F639" s="83"/>
    </row>
    <row r="640" ht="12.75" customHeight="1">
      <c r="F640" s="83"/>
    </row>
    <row r="641" ht="12.75" customHeight="1">
      <c r="F641" s="83"/>
    </row>
    <row r="642" ht="12.75" customHeight="1">
      <c r="F642" s="83"/>
    </row>
    <row r="643" ht="12.75" customHeight="1">
      <c r="F643" s="83"/>
    </row>
    <row r="644" ht="12.75" customHeight="1">
      <c r="F644" s="83"/>
    </row>
    <row r="645" ht="12.75" customHeight="1">
      <c r="F645" s="83"/>
    </row>
    <row r="646" ht="12.75" customHeight="1">
      <c r="F646" s="83"/>
    </row>
    <row r="647" ht="12.75" customHeight="1">
      <c r="F647" s="83"/>
    </row>
    <row r="648" ht="12.75" customHeight="1">
      <c r="F648" s="83"/>
    </row>
    <row r="649" ht="12.75" customHeight="1">
      <c r="F649" s="83"/>
    </row>
    <row r="650" ht="12.75" customHeight="1">
      <c r="F650" s="83"/>
    </row>
    <row r="651" ht="12.75" customHeight="1">
      <c r="F651" s="83"/>
    </row>
    <row r="652" ht="12.75" customHeight="1">
      <c r="F652" s="83"/>
    </row>
    <row r="653" ht="12.75" customHeight="1">
      <c r="F653" s="83"/>
    </row>
    <row r="654" ht="12.75" customHeight="1">
      <c r="F654" s="83"/>
    </row>
    <row r="655" ht="12.75" customHeight="1">
      <c r="F655" s="83"/>
    </row>
    <row r="656" ht="12.75" customHeight="1">
      <c r="F656" s="83"/>
    </row>
    <row r="657" ht="12.75" customHeight="1">
      <c r="F657" s="83"/>
    </row>
    <row r="658" ht="12.75" customHeight="1">
      <c r="F658" s="83"/>
    </row>
    <row r="659" ht="12.75" customHeight="1">
      <c r="F659" s="83"/>
    </row>
    <row r="660" ht="12.75" customHeight="1">
      <c r="F660" s="83"/>
    </row>
    <row r="661" ht="12.75" customHeight="1">
      <c r="F661" s="83"/>
    </row>
    <row r="662" ht="12.75" customHeight="1">
      <c r="F662" s="83"/>
    </row>
    <row r="663" ht="12.75" customHeight="1">
      <c r="F663" s="83"/>
    </row>
    <row r="664" ht="12.75" customHeight="1">
      <c r="F664" s="83"/>
    </row>
    <row r="665" ht="12.75" customHeight="1">
      <c r="F665" s="83"/>
    </row>
    <row r="666" ht="12.75" customHeight="1">
      <c r="F666" s="83"/>
    </row>
    <row r="667" ht="12.75" customHeight="1">
      <c r="F667" s="83"/>
    </row>
    <row r="668" ht="12.75" customHeight="1">
      <c r="F668" s="83"/>
    </row>
    <row r="669" ht="12.75" customHeight="1">
      <c r="F669" s="83"/>
    </row>
    <row r="670" ht="12.75" customHeight="1">
      <c r="F670" s="83"/>
    </row>
    <row r="671" ht="12.75" customHeight="1">
      <c r="F671" s="83"/>
    </row>
    <row r="672" ht="12.75" customHeight="1">
      <c r="F672" s="83"/>
    </row>
    <row r="673" ht="12.75" customHeight="1">
      <c r="F673" s="83"/>
    </row>
    <row r="674" ht="12.75" customHeight="1">
      <c r="F674" s="83"/>
    </row>
    <row r="675" ht="12.75" customHeight="1">
      <c r="F675" s="83"/>
    </row>
    <row r="676" ht="12.75" customHeight="1">
      <c r="F676" s="83"/>
    </row>
    <row r="677" ht="12.75" customHeight="1">
      <c r="F677" s="83"/>
    </row>
    <row r="678" ht="12.75" customHeight="1">
      <c r="F678" s="83"/>
    </row>
    <row r="679" ht="12.75" customHeight="1">
      <c r="F679" s="83"/>
    </row>
    <row r="680" ht="12.75" customHeight="1">
      <c r="F680" s="83"/>
    </row>
    <row r="681" ht="12.75" customHeight="1">
      <c r="F681" s="83"/>
    </row>
    <row r="682" ht="12.75" customHeight="1">
      <c r="F682" s="83"/>
    </row>
    <row r="683" ht="12.75" customHeight="1">
      <c r="F683" s="83"/>
    </row>
    <row r="684" ht="12.75" customHeight="1">
      <c r="F684" s="83"/>
    </row>
    <row r="685" ht="12.75" customHeight="1">
      <c r="F685" s="83"/>
    </row>
    <row r="686" ht="12.75" customHeight="1">
      <c r="F686" s="83"/>
    </row>
    <row r="687" ht="12.75" customHeight="1">
      <c r="F687" s="83"/>
    </row>
    <row r="688" ht="12.75" customHeight="1">
      <c r="F688" s="83"/>
    </row>
    <row r="689" ht="12.75" customHeight="1">
      <c r="F689" s="83"/>
    </row>
    <row r="690" ht="12.75" customHeight="1">
      <c r="F690" s="83"/>
    </row>
    <row r="691" ht="12.75" customHeight="1">
      <c r="F691" s="83"/>
    </row>
    <row r="692" ht="12.75" customHeight="1">
      <c r="F692" s="83"/>
    </row>
    <row r="693" ht="12.75" customHeight="1">
      <c r="F693" s="83"/>
    </row>
    <row r="694" ht="12.75" customHeight="1">
      <c r="F694" s="83"/>
    </row>
    <row r="695" ht="12.75" customHeight="1">
      <c r="F695" s="83"/>
    </row>
    <row r="696" ht="12.75" customHeight="1">
      <c r="F696" s="83"/>
    </row>
    <row r="697" ht="12.75" customHeight="1">
      <c r="F697" s="83"/>
    </row>
    <row r="698" ht="12.75" customHeight="1">
      <c r="F698" s="83"/>
    </row>
    <row r="699" ht="12.75" customHeight="1">
      <c r="F699" s="83"/>
    </row>
    <row r="700" ht="12.75" customHeight="1">
      <c r="F700" s="83"/>
    </row>
    <row r="701" ht="12.75" customHeight="1">
      <c r="F701" s="83"/>
    </row>
    <row r="702" ht="12.75" customHeight="1">
      <c r="F702" s="83"/>
    </row>
    <row r="703" ht="12.75" customHeight="1">
      <c r="F703" s="83"/>
    </row>
    <row r="704" ht="12.75" customHeight="1">
      <c r="F704" s="83"/>
    </row>
    <row r="705" ht="12.75" customHeight="1">
      <c r="F705" s="83"/>
    </row>
    <row r="706" ht="12.75" customHeight="1">
      <c r="F706" s="83"/>
    </row>
    <row r="707" ht="12.75" customHeight="1">
      <c r="F707" s="83"/>
    </row>
    <row r="708" ht="12.75" customHeight="1">
      <c r="F708" s="83"/>
    </row>
    <row r="709" ht="12.75" customHeight="1">
      <c r="F709" s="83"/>
    </row>
    <row r="710" ht="12.75" customHeight="1">
      <c r="F710" s="83"/>
    </row>
    <row r="711" ht="12.75" customHeight="1">
      <c r="F711" s="83"/>
    </row>
    <row r="712" ht="12.75" customHeight="1">
      <c r="F712" s="83"/>
    </row>
    <row r="713" ht="12.75" customHeight="1">
      <c r="F713" s="83"/>
    </row>
    <row r="714" ht="12.75" customHeight="1">
      <c r="F714" s="83"/>
    </row>
    <row r="715" ht="12.75" customHeight="1">
      <c r="F715" s="83"/>
    </row>
    <row r="716" ht="12.75" customHeight="1">
      <c r="F716" s="83"/>
    </row>
    <row r="717" ht="12.75" customHeight="1">
      <c r="F717" s="83"/>
    </row>
    <row r="718" ht="12.75" customHeight="1">
      <c r="F718" s="83"/>
    </row>
    <row r="719" ht="12.75" customHeight="1">
      <c r="F719" s="83"/>
    </row>
    <row r="720" ht="12.75" customHeight="1">
      <c r="F720" s="83"/>
    </row>
    <row r="721" ht="12.75" customHeight="1">
      <c r="F721" s="83"/>
    </row>
    <row r="722" ht="12.75" customHeight="1">
      <c r="F722" s="83"/>
    </row>
    <row r="723" ht="12.75" customHeight="1">
      <c r="F723" s="83"/>
    </row>
    <row r="724" ht="12.75" customHeight="1">
      <c r="F724" s="83"/>
    </row>
    <row r="725" ht="12.75" customHeight="1">
      <c r="F725" s="83"/>
    </row>
    <row r="726" ht="12.75" customHeight="1">
      <c r="F726" s="83"/>
    </row>
    <row r="727" ht="12.75" customHeight="1">
      <c r="F727" s="83"/>
    </row>
    <row r="728" ht="12.75" customHeight="1">
      <c r="F728" s="83"/>
    </row>
    <row r="729" ht="12.75" customHeight="1">
      <c r="F729" s="83"/>
    </row>
    <row r="730" ht="12.75" customHeight="1">
      <c r="F730" s="83"/>
    </row>
    <row r="731" ht="12.75" customHeight="1">
      <c r="F731" s="83"/>
    </row>
    <row r="732" ht="12.75" customHeight="1">
      <c r="F732" s="83"/>
    </row>
    <row r="733" ht="12.75" customHeight="1">
      <c r="F733" s="83"/>
    </row>
    <row r="734" ht="12.75" customHeight="1">
      <c r="F734" s="83"/>
    </row>
    <row r="735" ht="12.75" customHeight="1">
      <c r="F735" s="83"/>
    </row>
    <row r="736" ht="12.75" customHeight="1">
      <c r="F736" s="83"/>
    </row>
    <row r="737" ht="12.75" customHeight="1">
      <c r="F737" s="83"/>
    </row>
    <row r="738" ht="12.75" customHeight="1">
      <c r="F738" s="83"/>
    </row>
    <row r="739" ht="12.75" customHeight="1">
      <c r="F739" s="83"/>
    </row>
    <row r="740" ht="12.75" customHeight="1">
      <c r="F740" s="83"/>
    </row>
    <row r="741" ht="12.75" customHeight="1">
      <c r="F741" s="83"/>
    </row>
    <row r="742" ht="12.75" customHeight="1">
      <c r="F742" s="83"/>
    </row>
    <row r="743" ht="12.75" customHeight="1">
      <c r="F743" s="83"/>
    </row>
    <row r="744" ht="12.75" customHeight="1">
      <c r="F744" s="83"/>
    </row>
    <row r="745" ht="12.75" customHeight="1">
      <c r="F745" s="83"/>
    </row>
    <row r="746" ht="12.75" customHeight="1">
      <c r="F746" s="83"/>
    </row>
    <row r="747" ht="12.75" customHeight="1">
      <c r="F747" s="83"/>
    </row>
    <row r="748" ht="12.75" customHeight="1">
      <c r="F748" s="83"/>
    </row>
    <row r="749" ht="12.75" customHeight="1">
      <c r="F749" s="83"/>
    </row>
    <row r="750" ht="12.75" customHeight="1">
      <c r="F750" s="83"/>
    </row>
    <row r="751" ht="12.75" customHeight="1">
      <c r="F751" s="83"/>
    </row>
    <row r="752" ht="12.75" customHeight="1">
      <c r="F752" s="83"/>
    </row>
    <row r="753" ht="12.75" customHeight="1">
      <c r="F753" s="83"/>
    </row>
    <row r="754" ht="12.75" customHeight="1">
      <c r="F754" s="83"/>
    </row>
    <row r="755" ht="12.75" customHeight="1">
      <c r="F755" s="83"/>
    </row>
    <row r="756" ht="12.75" customHeight="1">
      <c r="F756" s="83"/>
    </row>
    <row r="757" ht="12.75" customHeight="1">
      <c r="F757" s="83"/>
    </row>
    <row r="758" ht="12.75" customHeight="1">
      <c r="F758" s="83"/>
    </row>
    <row r="759" ht="12.75" customHeight="1">
      <c r="F759" s="83"/>
    </row>
    <row r="760" ht="12.75" customHeight="1">
      <c r="F760" s="83"/>
    </row>
    <row r="761" ht="12.75" customHeight="1">
      <c r="F761" s="83"/>
    </row>
    <row r="762" ht="12.75" customHeight="1">
      <c r="F762" s="83"/>
    </row>
    <row r="763" ht="12.75" customHeight="1">
      <c r="F763" s="83"/>
    </row>
    <row r="764" ht="12.75" customHeight="1">
      <c r="F764" s="83"/>
    </row>
    <row r="765" ht="12.75" customHeight="1">
      <c r="F765" s="83"/>
    </row>
    <row r="766" ht="12.75" customHeight="1">
      <c r="F766" s="83"/>
    </row>
    <row r="767" ht="12.75" customHeight="1">
      <c r="F767" s="83"/>
    </row>
    <row r="768" ht="12.75" customHeight="1">
      <c r="F768" s="83"/>
    </row>
    <row r="769" ht="12.75" customHeight="1">
      <c r="F769" s="83"/>
    </row>
    <row r="770" ht="12.75" customHeight="1">
      <c r="F770" s="83"/>
    </row>
    <row r="771" ht="12.75" customHeight="1">
      <c r="F771" s="83"/>
    </row>
    <row r="772" ht="12.75" customHeight="1">
      <c r="F772" s="83"/>
    </row>
    <row r="773" ht="12.75" customHeight="1">
      <c r="F773" s="83"/>
    </row>
    <row r="774" ht="12.75" customHeight="1">
      <c r="F774" s="83"/>
    </row>
    <row r="775" ht="12.75" customHeight="1">
      <c r="F775" s="83"/>
    </row>
    <row r="776" ht="12.75" customHeight="1">
      <c r="F776" s="83"/>
    </row>
    <row r="777" ht="12.75" customHeight="1">
      <c r="F777" s="83"/>
    </row>
    <row r="778" ht="12.75" customHeight="1">
      <c r="F778" s="83"/>
    </row>
    <row r="779" ht="12.75" customHeight="1">
      <c r="F779" s="83"/>
    </row>
    <row r="780" ht="12.75" customHeight="1">
      <c r="F780" s="83"/>
    </row>
    <row r="781" ht="12.75" customHeight="1">
      <c r="F781" s="83"/>
    </row>
    <row r="782" ht="12.75" customHeight="1">
      <c r="F782" s="83"/>
    </row>
    <row r="783" ht="12.75" customHeight="1">
      <c r="F783" s="83"/>
    </row>
    <row r="784" ht="12.75" customHeight="1">
      <c r="F784" s="83"/>
    </row>
    <row r="785" ht="12.75" customHeight="1">
      <c r="F785" s="83"/>
    </row>
    <row r="786" ht="12.75" customHeight="1">
      <c r="F786" s="83"/>
    </row>
    <row r="787" ht="12.75" customHeight="1">
      <c r="F787" s="83"/>
    </row>
    <row r="788" ht="12.75" customHeight="1">
      <c r="F788" s="83"/>
    </row>
    <row r="789" ht="12.75" customHeight="1">
      <c r="F789" s="83"/>
    </row>
    <row r="790" ht="12.75" customHeight="1">
      <c r="F790" s="83"/>
    </row>
    <row r="791" ht="12.75" customHeight="1">
      <c r="F791" s="83"/>
    </row>
    <row r="792" ht="12.75" customHeight="1">
      <c r="F792" s="83"/>
    </row>
    <row r="793" ht="12.75" customHeight="1">
      <c r="F793" s="83"/>
    </row>
    <row r="794" ht="12.75" customHeight="1">
      <c r="F794" s="83"/>
    </row>
    <row r="795" ht="12.75" customHeight="1">
      <c r="F795" s="83"/>
    </row>
    <row r="796" ht="12.75" customHeight="1">
      <c r="F796" s="83"/>
    </row>
    <row r="797" ht="12.75" customHeight="1">
      <c r="F797" s="83"/>
    </row>
    <row r="798" ht="12.75" customHeight="1">
      <c r="F798" s="83"/>
    </row>
    <row r="799" ht="12.75" customHeight="1">
      <c r="F799" s="83"/>
    </row>
    <row r="800" ht="12.75" customHeight="1">
      <c r="F800" s="83"/>
    </row>
    <row r="801" ht="12.75" customHeight="1">
      <c r="F801" s="83"/>
    </row>
    <row r="802" ht="12.75" customHeight="1">
      <c r="F802" s="83"/>
    </row>
    <row r="803" ht="12.75" customHeight="1">
      <c r="F803" s="83"/>
    </row>
    <row r="804" ht="12.75" customHeight="1">
      <c r="F804" s="83"/>
    </row>
    <row r="805" ht="12.75" customHeight="1">
      <c r="F805" s="83"/>
    </row>
    <row r="806" ht="12.75" customHeight="1">
      <c r="F806" s="83"/>
    </row>
    <row r="807" ht="12.75" customHeight="1">
      <c r="F807" s="83"/>
    </row>
    <row r="808" ht="12.75" customHeight="1">
      <c r="F808" s="83"/>
    </row>
    <row r="809" ht="12.75" customHeight="1">
      <c r="F809" s="83"/>
    </row>
    <row r="810" ht="12.75" customHeight="1">
      <c r="F810" s="83"/>
    </row>
    <row r="811" ht="12.75" customHeight="1">
      <c r="F811" s="83"/>
    </row>
    <row r="812" ht="12.75" customHeight="1">
      <c r="F812" s="83"/>
    </row>
    <row r="813" ht="12.75" customHeight="1">
      <c r="F813" s="83"/>
    </row>
    <row r="814" ht="12.75" customHeight="1">
      <c r="F814" s="83"/>
    </row>
    <row r="815" ht="12.75" customHeight="1">
      <c r="F815" s="83"/>
    </row>
    <row r="816" ht="12.75" customHeight="1">
      <c r="F816" s="83"/>
    </row>
    <row r="817" ht="12.75" customHeight="1">
      <c r="F817" s="83"/>
    </row>
    <row r="818" ht="12.75" customHeight="1">
      <c r="F818" s="83"/>
    </row>
    <row r="819" ht="12.75" customHeight="1">
      <c r="F819" s="83"/>
    </row>
    <row r="820" ht="12.75" customHeight="1">
      <c r="F820" s="83"/>
    </row>
    <row r="821" ht="12.75" customHeight="1">
      <c r="F821" s="83"/>
    </row>
    <row r="822" ht="12.75" customHeight="1">
      <c r="F822" s="83"/>
    </row>
    <row r="823" ht="12.75" customHeight="1">
      <c r="F823" s="83"/>
    </row>
    <row r="824" ht="12.75" customHeight="1">
      <c r="F824" s="83"/>
    </row>
    <row r="825" ht="12.75" customHeight="1">
      <c r="F825" s="83"/>
    </row>
    <row r="826" ht="12.75" customHeight="1">
      <c r="F826" s="83"/>
    </row>
    <row r="827" ht="12.75" customHeight="1">
      <c r="F827" s="83"/>
    </row>
    <row r="828" ht="12.75" customHeight="1">
      <c r="F828" s="83"/>
    </row>
    <row r="829" ht="12.75" customHeight="1">
      <c r="F829" s="83"/>
    </row>
    <row r="830" ht="12.75" customHeight="1">
      <c r="F830" s="83"/>
    </row>
    <row r="831" ht="12.75" customHeight="1">
      <c r="F831" s="83"/>
    </row>
    <row r="832" ht="12.75" customHeight="1">
      <c r="F832" s="83"/>
    </row>
    <row r="833" ht="12.75" customHeight="1">
      <c r="F833" s="83"/>
    </row>
    <row r="834" ht="12.75" customHeight="1">
      <c r="F834" s="83"/>
    </row>
    <row r="835" ht="12.75" customHeight="1">
      <c r="F835" s="83"/>
    </row>
    <row r="836" ht="12.75" customHeight="1">
      <c r="F836" s="83"/>
    </row>
    <row r="837" ht="12.75" customHeight="1">
      <c r="F837" s="83"/>
    </row>
    <row r="838" ht="12.75" customHeight="1">
      <c r="F838" s="83"/>
    </row>
    <row r="839" ht="12.75" customHeight="1">
      <c r="F839" s="83"/>
    </row>
    <row r="840" ht="12.75" customHeight="1">
      <c r="F840" s="83"/>
    </row>
    <row r="841" ht="12.75" customHeight="1">
      <c r="F841" s="83"/>
    </row>
    <row r="842" ht="12.75" customHeight="1">
      <c r="F842" s="83"/>
    </row>
    <row r="843" ht="12.75" customHeight="1">
      <c r="F843" s="83"/>
    </row>
    <row r="844" ht="12.75" customHeight="1">
      <c r="F844" s="83"/>
    </row>
    <row r="845" ht="12.75" customHeight="1">
      <c r="F845" s="83"/>
    </row>
    <row r="846" ht="12.75" customHeight="1">
      <c r="F846" s="83"/>
    </row>
    <row r="847" ht="12.75" customHeight="1">
      <c r="F847" s="83"/>
    </row>
    <row r="848" ht="12.75" customHeight="1">
      <c r="F848" s="83"/>
    </row>
    <row r="849" ht="12.75" customHeight="1">
      <c r="F849" s="83"/>
    </row>
    <row r="850" ht="12.75" customHeight="1">
      <c r="F850" s="83"/>
    </row>
    <row r="851" ht="12.75" customHeight="1">
      <c r="F851" s="83"/>
    </row>
    <row r="852" ht="12.75" customHeight="1">
      <c r="F852" s="83"/>
    </row>
    <row r="853" ht="12.75" customHeight="1">
      <c r="F853" s="83"/>
    </row>
    <row r="854" ht="12.75" customHeight="1">
      <c r="F854" s="83"/>
    </row>
    <row r="855" ht="12.75" customHeight="1">
      <c r="F855" s="83"/>
    </row>
    <row r="856" ht="12.75" customHeight="1">
      <c r="F856" s="83"/>
    </row>
    <row r="857" ht="12.75" customHeight="1">
      <c r="F857" s="83"/>
    </row>
    <row r="858" ht="12.75" customHeight="1">
      <c r="F858" s="83"/>
    </row>
    <row r="859" ht="12.75" customHeight="1">
      <c r="F859" s="83"/>
    </row>
    <row r="860" ht="12.75" customHeight="1">
      <c r="F860" s="83"/>
    </row>
    <row r="861" ht="12.75" customHeight="1">
      <c r="F861" s="83"/>
    </row>
    <row r="862" ht="12.75" customHeight="1">
      <c r="F862" s="83"/>
    </row>
    <row r="863" ht="12.75" customHeight="1">
      <c r="F863" s="83"/>
    </row>
    <row r="864" ht="12.75" customHeight="1">
      <c r="F864" s="83"/>
    </row>
    <row r="865" ht="12.75" customHeight="1">
      <c r="F865" s="83"/>
    </row>
    <row r="866" ht="12.75" customHeight="1">
      <c r="F866" s="83"/>
    </row>
    <row r="867" ht="12.75" customHeight="1">
      <c r="F867" s="83"/>
    </row>
    <row r="868" ht="12.75" customHeight="1">
      <c r="F868" s="83"/>
    </row>
    <row r="869" ht="12.75" customHeight="1">
      <c r="F869" s="83"/>
    </row>
    <row r="870" ht="12.75" customHeight="1">
      <c r="F870" s="83"/>
    </row>
    <row r="871" ht="12.75" customHeight="1">
      <c r="F871" s="83"/>
    </row>
    <row r="872" ht="12.75" customHeight="1">
      <c r="F872" s="83"/>
    </row>
    <row r="873" ht="12.75" customHeight="1">
      <c r="F873" s="83"/>
    </row>
    <row r="874" ht="12.75" customHeight="1">
      <c r="F874" s="83"/>
    </row>
    <row r="875" ht="12.75" customHeight="1">
      <c r="F875" s="83"/>
    </row>
    <row r="876" ht="12.75" customHeight="1">
      <c r="F876" s="83"/>
    </row>
    <row r="877" ht="12.75" customHeight="1">
      <c r="F877" s="83"/>
    </row>
    <row r="878" ht="12.75" customHeight="1">
      <c r="F878" s="83"/>
    </row>
    <row r="879" ht="12.75" customHeight="1">
      <c r="F879" s="83"/>
    </row>
    <row r="880" ht="12.75" customHeight="1">
      <c r="F880" s="83"/>
    </row>
    <row r="881" ht="12.75" customHeight="1">
      <c r="F881" s="83"/>
    </row>
    <row r="882" ht="12.75" customHeight="1">
      <c r="F882" s="83"/>
    </row>
    <row r="883" ht="12.75" customHeight="1">
      <c r="F883" s="83"/>
    </row>
    <row r="884" ht="12.75" customHeight="1">
      <c r="F884" s="83"/>
    </row>
    <row r="885" ht="12.75" customHeight="1">
      <c r="F885" s="83"/>
    </row>
    <row r="886" ht="12.75" customHeight="1">
      <c r="F886" s="83"/>
    </row>
    <row r="887" ht="12.75" customHeight="1">
      <c r="F887" s="83"/>
    </row>
    <row r="888" ht="12.75" customHeight="1">
      <c r="F888" s="83"/>
    </row>
    <row r="889" ht="12.75" customHeight="1">
      <c r="F889" s="83"/>
    </row>
    <row r="890" ht="12.75" customHeight="1">
      <c r="F890" s="83"/>
    </row>
    <row r="891" ht="12.75" customHeight="1">
      <c r="F891" s="83"/>
    </row>
    <row r="892" ht="12.75" customHeight="1">
      <c r="F892" s="83"/>
    </row>
    <row r="893" ht="12.75" customHeight="1">
      <c r="F893" s="83"/>
    </row>
    <row r="894" ht="12.75" customHeight="1">
      <c r="F894" s="83"/>
    </row>
    <row r="895" ht="12.75" customHeight="1">
      <c r="F895" s="83"/>
    </row>
    <row r="896" ht="12.75" customHeight="1">
      <c r="F896" s="83"/>
    </row>
    <row r="897" ht="12.75" customHeight="1">
      <c r="F897" s="83"/>
    </row>
    <row r="898" ht="12.75" customHeight="1">
      <c r="F898" s="83"/>
    </row>
    <row r="899" ht="12.75" customHeight="1">
      <c r="F899" s="83"/>
    </row>
    <row r="900" ht="12.75" customHeight="1">
      <c r="F900" s="83"/>
    </row>
    <row r="901" ht="12.75" customHeight="1">
      <c r="F901" s="83"/>
    </row>
    <row r="902" ht="12.75" customHeight="1">
      <c r="F902" s="83"/>
    </row>
    <row r="903" ht="12.75" customHeight="1">
      <c r="F903" s="83"/>
    </row>
    <row r="904" ht="12.75" customHeight="1">
      <c r="F904" s="83"/>
    </row>
    <row r="905" ht="12.75" customHeight="1">
      <c r="F905" s="83"/>
    </row>
    <row r="906" ht="12.75" customHeight="1">
      <c r="F906" s="83"/>
    </row>
    <row r="907" ht="12.75" customHeight="1">
      <c r="F907" s="83"/>
    </row>
    <row r="908" ht="12.75" customHeight="1">
      <c r="F908" s="83"/>
    </row>
    <row r="909" ht="12.75" customHeight="1">
      <c r="F909" s="83"/>
    </row>
    <row r="910" ht="12.75" customHeight="1">
      <c r="F910" s="83"/>
    </row>
    <row r="911" ht="12.75" customHeight="1">
      <c r="F911" s="83"/>
    </row>
    <row r="912" ht="12.75" customHeight="1">
      <c r="F912" s="83"/>
    </row>
    <row r="913" ht="12.75" customHeight="1">
      <c r="F913" s="83"/>
    </row>
    <row r="914" ht="12.75" customHeight="1">
      <c r="F914" s="83"/>
    </row>
    <row r="915" ht="12.75" customHeight="1">
      <c r="F915" s="83"/>
    </row>
    <row r="916" ht="12.75" customHeight="1">
      <c r="F916" s="83"/>
    </row>
    <row r="917" ht="12.75" customHeight="1">
      <c r="F917" s="83"/>
    </row>
    <row r="918" ht="12.75" customHeight="1">
      <c r="F918" s="83"/>
    </row>
    <row r="919" ht="12.75" customHeight="1">
      <c r="F919" s="83"/>
    </row>
    <row r="920" ht="12.75" customHeight="1">
      <c r="F920" s="83"/>
    </row>
    <row r="921" ht="12.75" customHeight="1">
      <c r="F921" s="83"/>
    </row>
    <row r="922" ht="12.75" customHeight="1">
      <c r="F922" s="83"/>
    </row>
    <row r="923" ht="12.75" customHeight="1">
      <c r="F923" s="83"/>
    </row>
    <row r="924" ht="12.75" customHeight="1">
      <c r="F924" s="83"/>
    </row>
    <row r="925" ht="12.75" customHeight="1">
      <c r="F925" s="83"/>
    </row>
    <row r="926" ht="12.75" customHeight="1">
      <c r="F926" s="83"/>
    </row>
    <row r="927" ht="12.75" customHeight="1">
      <c r="F927" s="83"/>
    </row>
    <row r="928" ht="12.75" customHeight="1">
      <c r="F928" s="83"/>
    </row>
    <row r="929" ht="12.75" customHeight="1">
      <c r="F929" s="83"/>
    </row>
    <row r="930" ht="12.75" customHeight="1">
      <c r="F930" s="83"/>
    </row>
    <row r="931" ht="12.75" customHeight="1">
      <c r="F931" s="83"/>
    </row>
    <row r="932" ht="12.75" customHeight="1">
      <c r="F932" s="83"/>
    </row>
    <row r="933" ht="12.75" customHeight="1">
      <c r="F933" s="83"/>
    </row>
    <row r="934" ht="12.75" customHeight="1">
      <c r="F934" s="83"/>
    </row>
    <row r="935" ht="12.75" customHeight="1">
      <c r="F935" s="83"/>
    </row>
    <row r="936" ht="12.75" customHeight="1">
      <c r="F936" s="83"/>
    </row>
    <row r="937" ht="12.75" customHeight="1">
      <c r="F937" s="83"/>
    </row>
    <row r="938" ht="12.75" customHeight="1">
      <c r="F938" s="83"/>
    </row>
    <row r="939" ht="12.75" customHeight="1">
      <c r="F939" s="83"/>
    </row>
    <row r="940" ht="12.75" customHeight="1">
      <c r="F940" s="83"/>
    </row>
    <row r="941" ht="12.75" customHeight="1">
      <c r="F941" s="83"/>
    </row>
    <row r="942" ht="12.75" customHeight="1">
      <c r="F942" s="83"/>
    </row>
    <row r="943" ht="12.75" customHeight="1">
      <c r="F943" s="83"/>
    </row>
    <row r="944" ht="12.75" customHeight="1">
      <c r="F944" s="83"/>
    </row>
    <row r="945" ht="12.75" customHeight="1">
      <c r="F945" s="83"/>
    </row>
    <row r="946" ht="12.75" customHeight="1">
      <c r="F946" s="83"/>
    </row>
    <row r="947" ht="12.75" customHeight="1">
      <c r="F947" s="83"/>
    </row>
    <row r="948" ht="12.75" customHeight="1">
      <c r="F948" s="83"/>
    </row>
    <row r="949" ht="12.75" customHeight="1">
      <c r="F949" s="83"/>
    </row>
    <row r="950" ht="12.75" customHeight="1">
      <c r="F950" s="83"/>
    </row>
    <row r="951" ht="12.75" customHeight="1">
      <c r="F951" s="83"/>
    </row>
    <row r="952" ht="12.75" customHeight="1">
      <c r="F952" s="83"/>
    </row>
    <row r="953" ht="12.75" customHeight="1">
      <c r="F953" s="83"/>
    </row>
    <row r="954" ht="12.75" customHeight="1">
      <c r="F954" s="83"/>
    </row>
    <row r="955" ht="12.75" customHeight="1">
      <c r="F955" s="83"/>
    </row>
    <row r="956" ht="12.75" customHeight="1">
      <c r="F956" s="83"/>
    </row>
    <row r="957" ht="12.75" customHeight="1">
      <c r="F957" s="83"/>
    </row>
    <row r="958" ht="12.75" customHeight="1">
      <c r="F958" s="83"/>
    </row>
    <row r="959" ht="12.75" customHeight="1">
      <c r="F959" s="83"/>
    </row>
    <row r="960" ht="12.75" customHeight="1">
      <c r="F960" s="83"/>
    </row>
    <row r="961" ht="12.75" customHeight="1">
      <c r="F961" s="83"/>
    </row>
    <row r="962" ht="12.75" customHeight="1">
      <c r="F962" s="83"/>
    </row>
    <row r="963" ht="12.75" customHeight="1">
      <c r="F963" s="83"/>
    </row>
    <row r="964" ht="12.75" customHeight="1">
      <c r="F964" s="83"/>
    </row>
    <row r="965" ht="12.75" customHeight="1">
      <c r="F965" s="83"/>
    </row>
    <row r="966" ht="12.75" customHeight="1">
      <c r="F966" s="83"/>
    </row>
    <row r="967" ht="12.75" customHeight="1">
      <c r="F967" s="83"/>
    </row>
    <row r="968" ht="12.75" customHeight="1">
      <c r="F968" s="83"/>
    </row>
    <row r="969" ht="12.75" customHeight="1">
      <c r="F969" s="83"/>
    </row>
    <row r="970" ht="12.75" customHeight="1">
      <c r="F970" s="83"/>
    </row>
    <row r="971" ht="12.75" customHeight="1">
      <c r="F971" s="83"/>
    </row>
    <row r="972" ht="12.75" customHeight="1">
      <c r="F972" s="83"/>
    </row>
    <row r="973" ht="12.75" customHeight="1">
      <c r="F973" s="83"/>
    </row>
    <row r="974" ht="12.75" customHeight="1">
      <c r="F974" s="83"/>
    </row>
    <row r="975" ht="12.75" customHeight="1">
      <c r="F975" s="83"/>
    </row>
    <row r="976" ht="12.75" customHeight="1">
      <c r="F976" s="83"/>
    </row>
    <row r="977" ht="12.75" customHeight="1">
      <c r="F977" s="83"/>
    </row>
    <row r="978" ht="12.75" customHeight="1">
      <c r="F978" s="83"/>
    </row>
    <row r="979" ht="12.75" customHeight="1">
      <c r="F979" s="83"/>
    </row>
    <row r="980" ht="12.75" customHeight="1">
      <c r="F980" s="83"/>
    </row>
    <row r="981" ht="12.75" customHeight="1">
      <c r="F981" s="83"/>
    </row>
    <row r="982" ht="12.75" customHeight="1">
      <c r="F982" s="83"/>
    </row>
    <row r="983" ht="12.75" customHeight="1">
      <c r="F983" s="83"/>
    </row>
    <row r="984" ht="12.75" customHeight="1">
      <c r="F984" s="83"/>
    </row>
    <row r="985" ht="12.75" customHeight="1">
      <c r="F985" s="83"/>
    </row>
    <row r="986" ht="12.75" customHeight="1">
      <c r="F986" s="83"/>
    </row>
    <row r="987" ht="12.75" customHeight="1">
      <c r="F987" s="83"/>
    </row>
    <row r="988" ht="12.75" customHeight="1">
      <c r="F988" s="83"/>
    </row>
    <row r="989" ht="12.75" customHeight="1">
      <c r="F989" s="83"/>
    </row>
    <row r="990" ht="12.75" customHeight="1">
      <c r="F990" s="83"/>
    </row>
    <row r="991" ht="12.75" customHeight="1">
      <c r="F991" s="83"/>
    </row>
    <row r="992" ht="12.75" customHeight="1">
      <c r="F992" s="83"/>
    </row>
    <row r="993" ht="12.75" customHeight="1">
      <c r="F993" s="83"/>
    </row>
    <row r="994" ht="12.75" customHeight="1">
      <c r="F994" s="83"/>
    </row>
    <row r="995" ht="12.75" customHeight="1">
      <c r="F995" s="83"/>
    </row>
    <row r="996" ht="12.75" customHeight="1">
      <c r="F996" s="83"/>
    </row>
    <row r="997" ht="12.75" customHeight="1">
      <c r="F997" s="83"/>
    </row>
    <row r="998" ht="12.75" customHeight="1">
      <c r="F998" s="83"/>
    </row>
    <row r="999" ht="12.75" customHeight="1">
      <c r="F999" s="83"/>
    </row>
    <row r="1000" ht="12.75" customHeight="1">
      <c r="F1000" s="83"/>
    </row>
  </sheetData>
  <mergeCells count="9">
    <mergeCell ref="A67:K67"/>
    <mergeCell ref="A69:K69"/>
    <mergeCell ref="A2:K2"/>
    <mergeCell ref="F3:F4"/>
    <mergeCell ref="F5:F7"/>
    <mergeCell ref="F9:F35"/>
    <mergeCell ref="F36:F61"/>
    <mergeCell ref="F62:F64"/>
    <mergeCell ref="A65:K6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3.75"/>
    <col customWidth="1" min="3" max="3" width="26.0"/>
    <col customWidth="1" min="4" max="4" width="10.88"/>
    <col customWidth="1" min="5" max="5" width="16.25"/>
    <col customWidth="1" min="6" max="6" width="16.38"/>
    <col customWidth="1" min="7" max="7" width="16.25"/>
    <col customWidth="1" min="8" max="8" width="12.75"/>
    <col customWidth="1" min="9" max="9" width="12.88"/>
    <col customWidth="1" min="10" max="10" width="7.38"/>
    <col customWidth="1" min="11" max="11" width="15.13"/>
    <col customWidth="1" min="12" max="12" width="13.38"/>
    <col customWidth="1" min="13" max="26" width="8.63"/>
  </cols>
  <sheetData>
    <row r="1" ht="12.75" customHeight="1">
      <c r="A1" s="84" t="s">
        <v>1</v>
      </c>
      <c r="B1" s="84" t="s">
        <v>2</v>
      </c>
      <c r="C1" s="84" t="s">
        <v>3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 t="s">
        <v>432</v>
      </c>
      <c r="B2" s="6" t="s">
        <v>143</v>
      </c>
      <c r="C2" s="85" t="s">
        <v>433</v>
      </c>
    </row>
    <row r="3" ht="12.75" customHeight="1">
      <c r="A3" s="6" t="s">
        <v>434</v>
      </c>
      <c r="B3" s="6" t="s">
        <v>435</v>
      </c>
      <c r="C3" s="85">
        <v>6.105077724E9</v>
      </c>
    </row>
    <row r="4" ht="12.75" customHeight="1">
      <c r="A4" s="6" t="s">
        <v>436</v>
      </c>
      <c r="B4" s="6" t="s">
        <v>437</v>
      </c>
      <c r="C4" s="85">
        <v>2.019277105E9</v>
      </c>
    </row>
    <row r="5" ht="12.75" customHeight="1">
      <c r="A5" s="6" t="s">
        <v>438</v>
      </c>
      <c r="B5" s="6" t="s">
        <v>439</v>
      </c>
      <c r="C5" s="85">
        <v>4.436055186E9</v>
      </c>
    </row>
    <row r="6" ht="12.75" customHeight="1">
      <c r="A6" s="6" t="s">
        <v>440</v>
      </c>
      <c r="B6" s="6" t="s">
        <v>441</v>
      </c>
      <c r="C6" s="85">
        <v>9.083421232E9</v>
      </c>
    </row>
    <row r="7" ht="12.75" customHeight="1">
      <c r="A7" s="6" t="s">
        <v>442</v>
      </c>
      <c r="B7" s="6" t="s">
        <v>443</v>
      </c>
      <c r="C7" s="85">
        <v>2.015608575E9</v>
      </c>
    </row>
    <row r="8" ht="12.75" customHeight="1">
      <c r="A8" s="6" t="s">
        <v>444</v>
      </c>
      <c r="B8" s="6" t="s">
        <v>445</v>
      </c>
      <c r="C8" s="85">
        <v>7.322664738E9</v>
      </c>
    </row>
    <row r="9" ht="12.75" customHeight="1">
      <c r="A9" s="6" t="s">
        <v>446</v>
      </c>
      <c r="B9" s="6" t="s">
        <v>447</v>
      </c>
      <c r="C9" s="85" t="s">
        <v>448</v>
      </c>
    </row>
    <row r="10" ht="12.75" customHeight="1">
      <c r="A10" s="6" t="s">
        <v>449</v>
      </c>
      <c r="B10" s="6" t="s">
        <v>450</v>
      </c>
      <c r="C10" s="85">
        <v>6.103318799E9</v>
      </c>
    </row>
    <row r="11" ht="12.75" customHeight="1">
      <c r="A11" s="6" t="s">
        <v>451</v>
      </c>
      <c r="B11" s="6" t="s">
        <v>452</v>
      </c>
      <c r="C11" s="85" t="s">
        <v>453</v>
      </c>
    </row>
    <row r="12" ht="12.75" customHeight="1">
      <c r="A12" s="6" t="s">
        <v>454</v>
      </c>
      <c r="B12" s="6" t="s">
        <v>223</v>
      </c>
      <c r="C12" s="85" t="s">
        <v>455</v>
      </c>
    </row>
    <row r="13" ht="12.75" customHeight="1">
      <c r="A13" s="6"/>
      <c r="B13" s="6"/>
      <c r="C13" s="6"/>
    </row>
    <row r="14" ht="12.75" customHeight="1">
      <c r="A14" s="6"/>
      <c r="B14" s="6"/>
      <c r="C14" s="6"/>
    </row>
    <row r="15" ht="12.75" customHeight="1">
      <c r="A15" s="6"/>
      <c r="B15" s="6"/>
      <c r="C15" s="6"/>
    </row>
    <row r="16" ht="12.75" customHeight="1">
      <c r="A16" s="6"/>
      <c r="B16" s="6"/>
      <c r="C16" s="6"/>
    </row>
    <row r="17" ht="12.75" customHeight="1">
      <c r="A17" s="6"/>
      <c r="B17" s="6"/>
      <c r="C17" s="6"/>
    </row>
    <row r="18" ht="12.75" customHeight="1">
      <c r="A18" s="6"/>
      <c r="B18" s="6"/>
      <c r="C18" s="6"/>
    </row>
    <row r="19" ht="12.75" customHeight="1">
      <c r="A19" s="6"/>
      <c r="B19" s="6"/>
      <c r="C19" s="6"/>
    </row>
    <row r="20" ht="12.75" customHeight="1">
      <c r="A20" s="6"/>
      <c r="B20" s="6"/>
      <c r="C20" s="6"/>
    </row>
    <row r="21" ht="12.75" customHeight="1">
      <c r="A21" s="6"/>
      <c r="B21" s="6"/>
      <c r="C21" s="6"/>
    </row>
    <row r="22" ht="12.75" customHeight="1">
      <c r="A22" s="6"/>
      <c r="B22" s="6"/>
      <c r="C22" s="6"/>
    </row>
    <row r="23" ht="12.75" customHeight="1">
      <c r="A23" s="6"/>
      <c r="B23" s="6"/>
      <c r="C23" s="6"/>
    </row>
    <row r="24" ht="12.75" customHeight="1">
      <c r="A24" s="6"/>
      <c r="B24" s="6"/>
      <c r="C24" s="6"/>
    </row>
    <row r="25" ht="12.75" customHeight="1">
      <c r="A25" s="6"/>
      <c r="B25" s="6"/>
      <c r="C25" s="6"/>
    </row>
    <row r="26" ht="12.75" customHeight="1">
      <c r="A26" s="6"/>
      <c r="B26" s="6"/>
      <c r="C26" s="6"/>
    </row>
    <row r="27" ht="12.75" customHeight="1">
      <c r="A27" s="6"/>
      <c r="B27" s="6"/>
      <c r="C27" s="6"/>
    </row>
    <row r="28" ht="12.75" customHeight="1">
      <c r="A28" s="6"/>
      <c r="B28" s="6"/>
      <c r="C28" s="6"/>
    </row>
    <row r="29" ht="12.75" customHeight="1">
      <c r="A29" s="6"/>
      <c r="B29" s="6"/>
      <c r="C29" s="6"/>
    </row>
    <row r="30" ht="12.75" customHeight="1">
      <c r="A30" s="6"/>
      <c r="B30" s="6"/>
      <c r="C30" s="6"/>
    </row>
    <row r="31" ht="12.75" customHeight="1">
      <c r="A31" s="6"/>
      <c r="B31" s="6"/>
      <c r="C31" s="6"/>
    </row>
    <row r="32" ht="12.75" customHeight="1">
      <c r="A32" s="6"/>
      <c r="B32" s="6"/>
      <c r="C32" s="6"/>
    </row>
    <row r="33" ht="12.75" customHeight="1">
      <c r="A33" s="6"/>
      <c r="B33" s="6"/>
      <c r="C33" s="6"/>
    </row>
    <row r="34" ht="12.75" customHeight="1">
      <c r="A34" s="6"/>
      <c r="B34" s="6"/>
      <c r="C34" s="6"/>
    </row>
    <row r="35" ht="12.75" customHeight="1">
      <c r="A35" s="6"/>
      <c r="B35" s="6"/>
      <c r="C35" s="6"/>
    </row>
    <row r="36" ht="12.75" customHeight="1">
      <c r="A36" s="6"/>
      <c r="B36" s="6"/>
      <c r="C36" s="6"/>
    </row>
    <row r="37" ht="12.75" customHeight="1">
      <c r="A37" s="6"/>
      <c r="B37" s="6"/>
      <c r="C37" s="6"/>
    </row>
    <row r="38" ht="12.75" customHeight="1">
      <c r="A38" s="6"/>
      <c r="B38" s="6"/>
      <c r="C38" s="6"/>
    </row>
    <row r="39" ht="12.75" customHeight="1">
      <c r="A39" s="6"/>
      <c r="B39" s="6"/>
      <c r="C39" s="6"/>
    </row>
    <row r="40" ht="12.75" customHeight="1">
      <c r="A40" s="6"/>
      <c r="B40" s="6"/>
      <c r="C40" s="6"/>
    </row>
    <row r="41" ht="12.75" customHeight="1">
      <c r="A41" s="6"/>
      <c r="B41" s="6"/>
      <c r="C41" s="6"/>
    </row>
    <row r="42" ht="12.75" customHeight="1">
      <c r="A42" s="6"/>
      <c r="B42" s="6"/>
      <c r="C42" s="6"/>
    </row>
    <row r="43" ht="12.75" customHeight="1">
      <c r="A43" s="6"/>
      <c r="B43" s="6"/>
      <c r="C43" s="6"/>
    </row>
    <row r="44" ht="12.75" customHeight="1">
      <c r="A44" s="6"/>
      <c r="B44" s="6"/>
      <c r="C44" s="6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C$1">
    <sortState ref="A1:C1">
      <sortCondition ref="A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2023-09-20T18:29:43Z</dcterms:created>
  <dc:creator>Watson, Laura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0x0101004B1AE5BD83973944BDC129722C11BBB6</vt:lpwstr>
  </property>
</Properties>
</file>